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styles.xml" ContentType="application/vnd.openxmlformats-officedocument.spreadsheetml.styl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</ns0:Types>
</file>

<file path=_rels/.rels><?xml version='1.0' encoding='utf-8'?>
<ns0:Relationships xmlns:ns0="http://schemas.openxmlformats.org/package/2006/relationships"><ns0:Relationship Id="rId1" Type="http://schemas.openxmlformats.org/officeDocument/2006/relationships/officeDocument" Target="xl/workbook.xml" /></ns0:Relationships>
</file>

<file path=xl/workbook.xml><?xml version="1.0" encoding="utf-8"?>
<ns0:workbook xmlns:ns0="http://schemas.openxmlformats.org/spreadsheetml/2006/main" xmlns:ns1="http://schemas.openxmlformats.org/officeDocument/2006/relationships">
  <ns0:bookViews>
    <ns0:workbookView activeTab="0"/>
  </ns0:bookViews>
  <ns0:sheets>
    <ns0:sheet name="Summary" sheetId="1" ns1:id="rId1"/>
    <ns0:sheet name="Price Checks" sheetId="2" ns1:id="rId2"/>
  </ns0:sheets>
  <ns0:calcPr calcId="191029" fullCalcOnLoad="1"/>
</ns0:workbook>
</file>

<file path=xl/styles.xml><?xml version="1.0" encoding="utf-8"?>
<ns0:styleSheet xmlns:ns0="http://schemas.openxmlformats.org/spreadsheetml/2006/main">
  <ns0:numFmts count="1">
    <ns0:numFmt numFmtId="164" formatCode="#,##0.00;[Red]-#,##0.00"/>
  </ns0:numFmts>
  <ns0:fonts count="4">
    <ns0:font>
      <ns0:sz val="11"/>
      <ns0:color rgb="FF243347"/>
      <ns0:name val="Calibri"/>
    </ns0:font>
    <ns0:font>
      <ns0:sz val="17"/>
      <ns0:color rgb="FFFFFFFF"/>
      <ns0:name val="Calibri"/>
      <ns0:b/>
    </ns0:font>
    <ns0:font>
      <ns0:sz val="10"/>
      <ns0:color rgb="FF596778"/>
      <ns0:name val="Calibri"/>
      <ns0:i/>
    </ns0:font>
    <ns0:font>
      <ns0:sz val="11"/>
      <ns0:color rgb="FFFFFFFF"/>
      <ns0:name val="Calibri"/>
      <ns0:b/>
    </ns0:font>
  </ns0:fonts>
  <ns0:fills count="5">
    <ns0:fill>
      <ns0:patternFill patternType="none"/>
    </ns0:fill>
    <ns0:fill>
      <ns0:patternFill patternType="gray125"/>
    </ns0:fill>
    <ns0:fill>
      <ns0:patternFill patternType="solid">
        <ns0:fgColor rgb="FF18354D"/>
        <ns0:bgColor indexed="64"/>
      </ns0:patternFill>
    </ns0:fill>
    <ns0:fill>
      <ns0:patternFill patternType="solid">
        <ns0:fgColor rgb="FF167D8D"/>
        <ns0:bgColor indexed="64"/>
      </ns0:patternFill>
    </ns0:fill>
    <ns0:fill>
      <ns0:patternFill patternType="solid">
        <ns0:fgColor rgb="FFF0F6FA"/>
        <ns0:bgColor indexed="64"/>
      </ns0:patternFill>
    </ns0:fill>
  </ns0:fills>
  <ns0:borders count="1">
    <ns0:border>
      <ns0:left/>
      <ns0:right/>
      <ns0:top/>
      <ns0:bottom/>
      <ns0:diagonal/>
    </ns0:border>
  </ns0:borders>
  <ns0:cellStyleXfs count="1">
    <ns0:xf numFmtId="0" fontId="0" fillId="0" borderId="0"/>
  </ns0:cellStyleXfs>
  <ns0:cellXfs count="9">
    <ns0:xf numFmtId="0" fontId="0" fillId="0" borderId="0" xfId="0" applyAlignment="1">
      <ns0:alignment vertical="center" wrapText="1"/>
    </ns0:xf>
    <ns0:xf numFmtId="0" fontId="1" fillId="2" borderId="0" xfId="0" applyAlignment="1">
      <ns0:alignment vertical="center" wrapText="1"/>
    </ns0:xf>
    <ns0:xf numFmtId="0" fontId="2" fillId="0" borderId="0" xfId="0" applyAlignment="1">
      <ns0:alignment vertical="center" wrapText="1"/>
    </ns0:xf>
    <ns0:xf numFmtId="0" fontId="3" fillId="3" borderId="0" xfId="0" applyAlignment="1">
      <ns0:alignment vertical="center" wrapText="1"/>
    </ns0:xf>
    <ns0:xf numFmtId="0" fontId="0" fillId="0" borderId="0" xfId="0" applyAlignment="1">
      <ns0:alignment vertical="center" wrapText="1"/>
    </ns0:xf>
    <ns0:xf numFmtId="0" fontId="0" fillId="4" borderId="0" xfId="0" applyAlignment="1">
      <ns0:alignment vertical="center" wrapText="1"/>
    </ns0:xf>
    <ns0:xf numFmtId="164" fontId="0" fillId="0" borderId="0" xfId="0" applyAlignment="1" applyNumberFormat="1">
      <ns0:alignment vertical="center" wrapText="1"/>
    </ns0:xf>
    <ns0:xf numFmtId="164" fontId="0" fillId="4" borderId="0" xfId="0" applyAlignment="1" applyNumberFormat="1">
      <ns0:alignment vertical="center" wrapText="1"/>
    </ns0:xf>
    <ns0:xf numFmtId="0" fontId="0" fillId="4" borderId="0" xfId="0" applyAlignment="1">
      <ns0:alignment vertical="center" wrapText="1"/>
    </ns0:xf>
  </ns0:cellXfs>
  <ns0:cellStyles count="1">
    <ns0:cellStyle name="Normal" xfId="0" builtinId="0"/>
  </ns0:cellStyles>
  <ns0:dxfs count="4">
    <ns0:dxf>
      <ns0:fill>
        <ns0:patternFill patternType="solid">
          <ns0:fgColor rgb="FFFCE4E4"/>
          <ns0:bgColor indexed="64"/>
        </ns0:patternFill>
      </ns0:fill>
    </ns0:dxf>
    <ns0:dxf>
      <ns0:fill>
        <ns0:patternFill patternType="solid">
          <ns0:fgColor rgb="FFE2F0D9"/>
          <ns0:bgColor indexed="64"/>
        </ns0:patternFill>
      </ns0:fill>
    </ns0:dxf>
    <ns0:dxf>
      <ns0:fill>
        <ns0:patternFill patternType="solid">
          <ns0:fgColor rgb="FFE3EDF7"/>
          <ns0:bgColor indexed="64"/>
        </ns0:patternFill>
      </ns0:fill>
    </ns0:dxf>
    <ns0:dxf>
      <ns0:fill>
        <ns0:patternFill patternType="solid">
          <ns0:fgColor rgb="FFFFF2CC"/>
          <ns0:bgColor indexed="64"/>
        </ns0:patternFill>
      </ns0:fill>
    </ns0:dxf>
  </ns0:dxfs>
</ns0:styleSheet>
</file>

<file path=xl/_rels/workbook.xml.rels><?xml version='1.0' encoding='utf-8'?>
<ns0:Relationships xmlns:ns0="http://schemas.openxmlformats.org/package/2006/relationships"><ns0:Relationship Id="rId1" Type="http://schemas.openxmlformats.org/officeDocument/2006/relationships/worksheet" Target="worksheets/sheet1.xml" /><ns0:Relationship Id="rId2" Type="http://schemas.openxmlformats.org/officeDocument/2006/relationships/worksheet" Target="worksheets/sheet2.xml" /><ns0:Relationship Id="rIdStyles" Type="http://schemas.openxmlformats.org/officeDocument/2006/relationships/styles" Target="styles.xml" /></ns0:Relationships>
</file>

<file path=xl/worksheets/sheet1.xml><?xml version="1.0" encoding="utf-8"?>
<ns0:worksheet xmlns:ns0="http://schemas.openxmlformats.org/spreadsheetml/2006/main">
  <ns0:dimension ref="A1:B17"/>
  <ns0:sheetViews>
    <ns0:sheetView workbookViewId="0" showGridLines="0">
      <ns0:pane ySplit="4" topLeftCell="A5" activePane="bottomLeft" state="frozen"/>
      <ns0:selection pane="bottomLeft" activeCell="A5" sqref="A5"/>
    </ns0:sheetView>
  </ns0:sheetViews>
  <ns0:sheetFormatPr defaultRowHeight="31"/>
  <ns0:cols>
    <ns0:col min="1" max="1" width="43" customWidth="1"/>
    <ns0:col min="2" max="2" width="40" customWidth="1"/>
  </ns0:cols>
  <ns0:sheetData>
    <ns0:row r="1" ht="38" customHeight="1">
      <ns0:c r="A1" s="1" t="inlineStr">
        <ns0:is>
          <ns0:t xml:space="preserve">Silver Creek Campers - summary</ns0:t>
        </ns0:is>
      </ns0:c>
    </ns0:row>
    <ns0:row r="2" ht="38" customHeight="1">
      <ns0:c r="A2" s="2" t="inlineStr">
        <ns0:is>
          <ns0:t xml:space="preserve">SIMULATED DATA - fictional companies and quotes for a teaching demo. Currency: AUD.</ns0:t>
        </ns0:is>
      </ns0:c>
    </ns0:row>
    <ns0:row r="3" ht="31" customHeight="1"/>
    <ns0:row r="4" ht="31" customHeight="1">
      <ns0:c r="A4" s="3" t="inlineStr">
        <ns0:is>
          <ns0:t xml:space="preserve">Metric</ns0:t>
        </ns0:is>
      </ns0:c>
      <ns0:c r="B4" s="3" t="inlineStr">
        <ns0:is>
          <ns0:t xml:space="preserve">Value</ns0:t>
        </ns0:is>
      </ns0:c>
    </ns0:row>
    <ns0:row r="5" ht="31" customHeight="1">
      <ns0:c r="A5" s="4" t="inlineStr">
        <ns0:is>
          <ns0:t xml:space="preserve">Company</ns0:t>
        </ns0:is>
      </ns0:c>
      <ns0:c r="B5" s="4" t="inlineStr">
        <ns0:is>
          <ns0:t xml:space="preserve">Silver Creek Campers</ns0:t>
        </ns0:is>
      </ns0:c>
    </ns0:row>
    <ns0:row r="6" ht="31" customHeight="1">
      <ns0:c r="A6" s="5" t="inlineStr">
        <ns0:is>
          <ns0:t xml:space="preserve">Quotes checked</ns0:t>
        </ns0:is>
      </ns0:c>
      <ns0:c r="B6" s="5">
        <ns0:f>COUNTA('Price Checks'!A5:A28)</ns0:f>
        <ns0:v>24</ns0:v>
      </ns0:c>
    </ns0:row>
    <ns0:row r="7" ht="31" customHeight="1">
      <ns0:c r="A7" s="4" t="inlineStr">
        <ns0:is>
          <ns0:t xml:space="preserve">Comparable quotes</ns0:t>
        </ns0:is>
      </ns0:c>
      <ns0:c r="B7" s="4">
        <ns0:f>COUNT('Price Checks'!G5:G28)</ns0:f>
        <ns0:v>22</ns0:v>
      </ns0:c>
    </ns0:row>
    <ns0:row r="8" ht="31" customHeight="1">
      <ns0:c r="A8" s="5" t="inlineStr">
        <ns0:is>
          <ns0:t xml:space="preserve">Equal</ns0:t>
        </ns0:is>
      </ns0:c>
      <ns0:c r="B8" s="5">
        <ns0:f>COUNTIF('Price Checks'!I5:I28,"EQUAL")</ns0:f>
        <ns0:v>8</ns0:v>
      </ns0:c>
    </ns0:row>
    <ns0:row r="9" ht="31" customHeight="1">
      <ns0:c r="A9" s="4" t="inlineStr">
        <ns0:is>
          <ns0:t xml:space="preserve">Broker lower</ns0:t>
        </ns0:is>
      </ns0:c>
      <ns0:c r="B9" s="4">
        <ns0:f>COUNTIF('Price Checks'!I5:I28,"BROKER LOWER")</ns0:f>
        <ns0:v>6</ns0:v>
      </ns0:c>
    </ns0:row>
    <ns0:row r="10" ht="31" customHeight="1">
      <ns0:c r="A10" s="5" t="inlineStr">
        <ns0:is>
          <ns0:t xml:space="preserve">Broker higher</ns0:t>
        </ns0:is>
      </ns0:c>
      <ns0:c r="B10" s="5">
        <ns0:f>COUNTIF('Price Checks'!I5:I28,"BROKER HIGHER")</ns0:f>
        <ns0:v>8</ns0:v>
      </ns0:c>
    </ns0:row>
    <ns0:row r="11" ht="31" customHeight="1">
      <ns0:c r="A11" s="4" t="inlineStr">
        <ns0:is>
          <ns0:t xml:space="preserve">Review</ns0:t>
        </ns0:is>
      </ns0:c>
      <ns0:c r="B11" s="4">
        <ns0:f>COUNTIF('Price Checks'!I5:I28,"REVIEW")</ns0:f>
        <ns0:v>2</ns0:v>
      </ns0:c>
    </ns0:row>
    <ns0:row r="12" ht="31" customHeight="1">
      <ns0:c r="A12" s="5" t="inlineStr">
        <ns0:is>
          <ns0:t xml:space="preserve">Average gap (A$)</ns0:t>
        </ns0:is>
      </ns0:c>
      <ns0:c r="B12" s="7">
        <ns0:f>IFERROR(AVERAGE('Price Checks'!G5:G28),0)</ns0:f>
        <ns0:v>24.477272727272727</ns0:v>
      </ns0:c>
    </ns0:row>
    <ns0:row r="13" ht="31" customHeight="1">
      <ns0:c r="A13" s="4" t="inlineStr">
        <ns0:is>
          <ns0:t xml:space="preserve">Largest absolute gap (A$)</ns0:t>
        </ns0:is>
      </ns0:c>
      <ns0:c r="B13" s="6">
        <ns0:f>MAX(MAX('Price Checks'!G5:G28),-MIN('Price Checks'!G5:G28))</ns0:f>
        <ns0:v>120.75</ns0:v>
      </ns0:c>
    </ns0:row>
    <ns0:row r="14" ht="31" customHeight="1">
      <ns0:c r="A14" s="5" t="inlineStr">
        <ns0:is>
          <ns0:t xml:space="preserve">Available broker total (A$)</ns0:t>
        </ns0:is>
      </ns0:c>
      <ns0:c r="B14" s="7">
        <ns0:f>SUM('Price Checks'!E5:E28)</ns0:f>
        <ns0:v>49782.9</ns0:v>
      </ns0:c>
    </ns0:row>
    <ns0:row r="15" ht="31" customHeight="1">
      <ns0:c r="A15" s="4" t="inlineStr">
        <ns0:is>
          <ns0:t xml:space="preserve">Supplier total (A$)</ns0:t>
        </ns0:is>
      </ns0:c>
      <ns0:c r="B15" s="6">
        <ns0:f>SUM('Price Checks'!F5:F28)</ns0:f>
        <ns0:v>54145.8</ns0:v>
      </ns0:c>
    </ns0:row>
    <ns0:row r="16" ht="31" customHeight="1">
      <ns0:c r="A16" s="5" t="inlineStr">
        <ns0:is>
          <ns0:t xml:space="preserve">Currency</ns0:t>
        </ns0:is>
      </ns0:c>
      <ns0:c r="B16" s="5" t="inlineStr">
        <ns0:is>
          <ns0:t xml:space="preserve">AUD</ns0:t>
        </ns0:is>
      </ns0:c>
    </ns0:row>
    <ns0:row r="17" ht="31" customHeight="1">
      <ns0:c r="A17" s="4" t="inlineStr">
        <ns0:is>
          <ns0:t xml:space="preserve">Data source</ns0:t>
        </ns0:is>
      </ns0:c>
      <ns0:c r="B17" s="4" t="inlineStr">
        <ns0:is>
          <ns0:t xml:space="preserve">Invented for this demo</ns0:t>
        </ns0:is>
      </ns0:c>
    </ns0:row>
  </ns0:sheetData>
  <ns0:mergeCells count="2">
    <ns0:mergeCell ref="A1:B1"/>
    <ns0:mergeCell ref="A2:B2"/>
  </ns0:mergeCells>
  <ns0:pageMargins left="0.25" right="0.25" top="0.5" bottom="0.5" header="0.2" footer="0.2"/>
  <ns0:pageSetup orientation="landscape" paperSize="9" fitToWidth="1" fitToHeight="0"/>
  <ns0:headerFooter>
    <ns0:oddFooter>&amp;LSIMULATED DATA&amp;RP &amp;P of &amp;N</ns0:oddFooter>
  </ns0:headerFooter>
</ns0:worksheet>
</file>

<file path=xl/worksheets/sheet2.xml><?xml version="1.0" encoding="utf-8"?>
<ns0:worksheet xmlns:ns0="http://schemas.openxmlformats.org/spreadsheetml/2006/main">
  <ns0:dimension ref="A1:K28"/>
  <ns0:sheetViews>
    <ns0:sheetView workbookViewId="0" showGridLines="0">
      <ns0:pane ySplit="4" topLeftCell="A5" activePane="bottomLeft" state="frozen"/>
      <ns0:selection pane="bottomLeft" activeCell="A5" sqref="A5"/>
    </ns0:sheetView>
  </ns0:sheetViews>
  <ns0:sheetFormatPr defaultRowHeight="31"/>
  <ns0:cols>
    <ns0:col min="1" max="1" width="27" customWidth="1"/>
    <ns0:col min="2" max="2" width="25" customWidth="1"/>
    <ns0:col min="3" max="3" width="39" customWidth="1"/>
    <ns0:col min="4" max="4" width="29" customWidth="1"/>
    <ns0:col min="5" max="5" width="20" customWidth="1"/>
    <ns0:col min="6" max="6" width="19" customWidth="1"/>
    <ns0:col min="7" max="7" width="17" customWidth="1"/>
    <ns0:col min="8" max="8" width="21" customWidth="1"/>
    <ns0:col min="9" max="9" width="23" customWidth="1"/>
    <ns0:col min="10" max="10" width="35" customWidth="1"/>
    <ns0:col min="11" max="11" width="27" customWidth="1"/>
  </ns0:cols>
  <ns0:sheetData>
    <ns0:row r="1" ht="38" customHeight="1">
      <ns0:c r="A1" s="1" t="inlineStr">
        <ns0:is>
          <ns0:t xml:space="preserve">Silver Creek Campers - price checks</ns0:t>
        </ns0:is>
      </ns0:c>
    </ns0:row>
    <ns0:row r="2" ht="38" customHeight="1">
      <ns0:c r="A2" s="2" t="inlineStr">
        <ns0:is>
          <ns0:t xml:space="preserve">SIMULATED DATA - fictional companies and quotes for a teaching demo. Currency: AUD.</ns0:t>
        </ns0:is>
      </ns0:c>
    </ns0:row>
    <ns0:row r="3" ht="31" customHeight="1"/>
    <ns0:row r="4" ht="31" customHeight="1">
      <ns0:c r="A4" s="3" t="inlineStr">
        <ns0:is>
          <ns0:t xml:space="preserve">Company</ns0:t>
        </ns0:is>
      </ns0:c>
      <ns0:c r="B4" s="3" t="inlineStr">
        <ns0:is>
          <ns0:t xml:space="preserve">Route</ns0:t>
        </ns0:is>
      </ns0:c>
      <ns0:c r="C4" s="3" t="inlineStr">
        <ns0:is>
          <ns0:t xml:space="preserve">Search settings</ns0:t>
        </ns0:is>
      </ns0:c>
      <ns0:c r="D4" s="3" t="inlineStr">
        <ns0:is>
          <ns0:t xml:space="preserve">Rental dates</ns0:t>
        </ns0:is>
      </ns0:c>
      <ns0:c r="E4" s="3" t="inlineStr">
        <ns0:is>
          <ns0:t xml:space="preserve">Demo broker price</ns0:t>
        </ns0:is>
      </ns0:c>
      <ns0:c r="F4" s="3" t="inlineStr">
        <ns0:is>
          <ns0:t xml:space="preserve">Supplier price</ns0:t>
        </ns0:is>
      </ns0:c>
      <ns0:c r="G4" s="3" t="inlineStr">
        <ns0:is>
          <ns0:t xml:space="preserve">Gap (A$)</ns0:t>
        </ns0:is>
      </ns0:c>
      <ns0:c r="H4" s="3" t="inlineStr">
        <ns0:is>
          <ns0:t xml:space="preserve">Other broker price</ns0:t>
        </ns0:is>
      </ns0:c>
      <ns0:c r="I4" s="3" t="inlineStr">
        <ns0:is>
          <ns0:t xml:space="preserve">Result</ns0:t>
        </ns0:is>
      </ns0:c>
      <ns0:c r="J4" s="3" t="inlineStr">
        <ns0:is>
          <ns0:t xml:space="preserve">Remarks / Notes</ns0:t>
        </ns0:is>
      </ns0:c>
      <ns0:c r="K4" s="3" t="inlineStr">
        <ns0:is>
          <ns0:t xml:space="preserve">Follow-up</ns0:t>
        </ns0:is>
      </ns0:c>
    </ns0:row>
    <ns0:row r="5" ht="31" customHeight="1">
      <ns0:c r="A5" s="4" t="inlineStr">
        <ns0:is>
          <ns0:t xml:space="preserve">Silver Creek Campers</ns0:t>
        </ns0:is>
      </ns0:c>
      <ns0:c r="B5" s="4" t="inlineStr">
        <ns0:is>
          <ns0:t xml:space="preserve">Sydney to Sydney</ns0:t>
        </ns0:is>
      </ns0:c>
      <ns0:c r="C5" s="4" t="inlineStr">
        <ns0:is>
          <ns0:t xml:space="preserve">Campervan | Basic | &lt;35 days</ns0:t>
        </ns0:is>
      </ns0:c>
      <ns0:c r="D5" s="4" t="inlineStr">
        <ns0:is>
          <ns0:t xml:space="preserve">2026-11-08 to 2026-11-15</ns0:t>
        </ns0:is>
      </ns0:c>
      <ns0:c r="E5" s="6">
        <ns0:v>1667.5</ns0:v>
      </ns0:c>
      <ns0:c r="F5" s="6">
        <ns0:v>1667.5</ns0:v>
      </ns0:c>
      <ns0:c r="G5" s="6">
        <ns0:f>IF(AND(ISNUMBER(E5),ISNUMBER(F5)),ROUND(E5-F5,2),"")</ns0:f>
        <ns0:v>0.0</ns0:v>
      </ns0:c>
      <ns0:c r="H5" s="6">
        <ns0:v>1692.5</ns0:v>
      </ns0:c>
      <ns0:c r="I5" s="4" t="str">
        <ns0:f>IF(AND(ISNUMBER(E5),ISNUMBER(F5)),IF(G5=0,"EQUAL",IF(G5&gt;0,"BROKER HIGHER","BROKER LOWER")),"REVIEW")</ns0:f>
        <ns0:v>EQUAL</ns0:v>
      </ns0:c>
      <ns0:c r="J5" s="4" t="inlineStr">
        <ns0:is>
          <ns0:t xml:space="preserve">Dummy quote; compare cover</ns0:t>
        </ns0:is>
      </ns0:c>
      <ns0:c r="K5" s="4" t="inlineStr">
        <ns0:is>
          <ns0:t xml:space="preserve">No action</ns0:t>
        </ns0:is>
      </ns0:c>
    </ns0:row>
    <ns0:row r="6" ht="31" customHeight="1">
      <ns0:c r="A6" s="5" t="inlineStr">
        <ns0:is>
          <ns0:t xml:space="preserve">Silver Creek Campers</ns0:t>
        </ns0:is>
      </ns0:c>
      <ns0:c r="B6" s="5" t="inlineStr">
        <ns0:is>
          <ns0:t xml:space="preserve">Sydney to Sydney</ns0:t>
        </ns0:is>
      </ns0:c>
      <ns0:c r="C6" s="5" t="inlineStr">
        <ns0:is>
          <ns0:t xml:space="preserve">Campervan | Standard | &lt;35 days</ns0:t>
        </ns0:is>
      </ns0:c>
      <ns0:c r="D6" s="5" t="inlineStr">
        <ns0:is>
          <ns0:t xml:space="preserve">2026-11-08 to 2026-11-15</ns0:t>
        </ns0:is>
      </ns0:c>
      <ns0:c r="E6" s="7">
        <ns0:v>1801.95</ns0:v>
      </ns0:c>
      <ns0:c r="F6" s="7">
        <ns0:v>1801.95</ns0:v>
      </ns0:c>
      <ns0:c r="G6" s="7">
        <ns0:f>IF(AND(ISNUMBER(E6),ISNUMBER(F6)),ROUND(E6-F6,2),"")</ns0:f>
        <ns0:v>0.0</ns0:v>
      </ns0:c>
      <ns0:c r="H6" s="7">
        <ns0:v>1840.45</ns0:v>
      </ns0:c>
      <ns0:c r="I6" s="5" t="str">
        <ns0:f>IF(AND(ISNUMBER(E6),ISNUMBER(F6)),IF(G6=0,"EQUAL",IF(G6&gt;0,"BROKER HIGHER","BROKER LOWER")),"REVIEW")</ns0:f>
        <ns0:v>EQUAL</ns0:v>
      </ns0:c>
      <ns0:c r="J6" s="5" t="inlineStr">
        <ns0:is>
          <ns0:t xml:space="preserve">Dummy quote; compare cover</ns0:t>
        </ns0:is>
      </ns0:c>
      <ns0:c r="K6" s="5" t="inlineStr">
        <ns0:is>
          <ns0:t xml:space="preserve">No action</ns0:t>
        </ns0:is>
      </ns0:c>
    </ns0:row>
    <ns0:row r="7" ht="31" customHeight="1">
      <ns0:c r="A7" s="4" t="inlineStr">
        <ns0:is>
          <ns0:t xml:space="preserve">Silver Creek Campers</ns0:t>
        </ns0:is>
      </ns0:c>
      <ns0:c r="B7" s="4" t="inlineStr">
        <ns0:is>
          <ns0:t xml:space="preserve">Sydney to Sydney</ns0:t>
        </ns0:is>
      </ns0:c>
      <ns0:c r="C7" s="4" t="inlineStr">
        <ns0:is>
          <ns0:t xml:space="preserve">Campervan | Premium | &lt;35 days</ns0:t>
        </ns0:is>
      </ns0:c>
      <ns0:c r="D7" s="4" t="inlineStr">
        <ns0:is>
          <ns0:t xml:space="preserve">2026-11-08 to 2026-11-15</ns0:t>
        </ns0:is>
      </ns0:c>
      <ns0:c r="E7" s="6">
        <ns0:v>1893.9</ns0:v>
      </ns0:c>
      <ns0:c r="F7" s="6">
        <ns0:v>1936.4</ns0:v>
      </ns0:c>
      <ns0:c r="G7" s="6">
        <ns0:f>IF(AND(ISNUMBER(E7),ISNUMBER(F7)),ROUND(E7-F7,2),"")</ns0:f>
        <ns0:v>-42.5</ns0:v>
      </ns0:c>
      <ns0:c r="H7" s="6">
        <ns0:v>1988.4</ns0:v>
      </ns0:c>
      <ns0:c r="I7" s="4" t="str">
        <ns0:f>IF(AND(ISNUMBER(E7),ISNUMBER(F7)),IF(G7=0,"EQUAL",IF(G7&gt;0,"BROKER HIGHER","BROKER LOWER")),"REVIEW")</ns0:f>
        <ns0:v>BROKER LOWER</ns0:v>
      </ns0:c>
      <ns0:c r="J7" s="4" t="inlineStr">
        <ns0:is>
          <ns0:t xml:space="preserve">Dummy quote; compare cover</ns0:t>
        </ns0:is>
      </ns0:c>
      <ns0:c r="K7" s="4" t="inlineStr">
        <ns0:is>
          <ns0:t xml:space="preserve">No action</ns0:t>
        </ns0:is>
      </ns0:c>
    </ns0:row>
    <ns0:row r="8" ht="31" customHeight="1">
      <ns0:c r="A8" s="5" t="inlineStr">
        <ns0:is>
          <ns0:t xml:space="preserve">Silver Creek Campers</ns0:t>
        </ns0:is>
      </ns0:c>
      <ns0:c r="B8" s="5" t="inlineStr">
        <ns0:is>
          <ns0:t xml:space="preserve">Sydney to Sydney</ns0:t>
        </ns0:is>
      </ns0:c>
      <ns0:c r="C8" s="5" t="inlineStr">
        <ns0:is>
          <ns0:t xml:space="preserve">Motorhome | Basic | &lt;35 days</ns0:t>
        </ns0:is>
      </ns0:c>
      <ns0:c r="D8" s="5" t="inlineStr">
        <ns0:is>
          <ns0:t xml:space="preserve">2026-11-08 to 2026-11-15</ns0:t>
        </ns0:is>
      </ns0:c>
      <ns0:c r="E8" s="7">
        <ns0:v>1862.25</ns0:v>
      </ns0:c>
      <ns0:c r="F8" s="7">
        <ns0:v>1797.25</ns0:v>
      </ns0:c>
      <ns0:c r="G8" s="7">
        <ns0:f>IF(AND(ISNUMBER(E8),ISNUMBER(F8)),ROUND(E8-F8,2),"")</ns0:f>
        <ns0:v>65.0</ns0:v>
      </ns0:c>
      <ns0:c r="H8" s="7">
        <ns0:v>1862.75</ns0:v>
      </ns0:c>
      <ns0:c r="I8" s="5" t="str">
        <ns0:f>IF(AND(ISNUMBER(E8),ISNUMBER(F8)),IF(G8=0,"EQUAL",IF(G8&gt;0,"BROKER HIGHER","BROKER LOWER")),"REVIEW")</ns0:f>
        <ns0:v>BROKER HIGHER</ns0:v>
      </ns0:c>
      <ns0:c r="J8" s="5" t="inlineStr">
        <ns0:is>
          <ns0:t xml:space="preserve">Dummy quote; compare cover</ns0:t>
        </ns0:is>
      </ns0:c>
      <ns0:c r="K8" s="5" t="inlineStr">
        <ns0:is>
          <ns0:t xml:space="preserve">Check cover cost</ns0:t>
        </ns0:is>
      </ns0:c>
    </ns0:row>
    <ns0:row r="9" ht="31" customHeight="1">
      <ns0:c r="A9" s="4" t="inlineStr">
        <ns0:is>
          <ns0:t xml:space="preserve">Silver Creek Campers</ns0:t>
        </ns0:is>
      </ns0:c>
      <ns0:c r="B9" s="4" t="inlineStr">
        <ns0:is>
          <ns0:t xml:space="preserve">Sydney to Sydney</ns0:t>
        </ns0:is>
      </ns0:c>
      <ns0:c r="C9" s="4" t="inlineStr">
        <ns0:is>
          <ns0:t xml:space="preserve">Motorhome | Standard | &lt;35 days</ns0:t>
        </ns0:is>
      </ns0:c>
      <ns0:c r="D9" s="4" t="inlineStr">
        <ns0:is>
          <ns0:t xml:space="preserve">2026-11-08 to 2026-11-15</ns0:t>
        </ns0:is>
      </ns0:c>
      <ns0:c r="E9" s="6">
        <ns0:v>1914.45</ns0:v>
      </ns0:c>
      <ns0:c r="F9" s="6">
        <ns0:v>1931.7</ns0:v>
      </ns0:c>
      <ns0:c r="G9" s="6">
        <ns0:f>IF(AND(ISNUMBER(E9),ISNUMBER(F9)),ROUND(E9-F9,2),"")</ns0:f>
        <ns0:v>-17.25</ns0:v>
      </ns0:c>
      <ns0:c r="H9" s="6">
        <ns0:v>1956.7</ns0:v>
      </ns0:c>
      <ns0:c r="I9" s="4" t="str">
        <ns0:f>IF(AND(ISNUMBER(E9),ISNUMBER(F9)),IF(G9=0,"EQUAL",IF(G9&gt;0,"BROKER HIGHER","BROKER LOWER")),"REVIEW")</ns0:f>
        <ns0:v>BROKER LOWER</ns0:v>
      </ns0:c>
      <ns0:c r="J9" s="4" t="inlineStr">
        <ns0:is>
          <ns0:t xml:space="preserve">Dummy quote; compare cover</ns0:t>
        </ns0:is>
      </ns0:c>
      <ns0:c r="K9" s="4" t="inlineStr">
        <ns0:is>
          <ns0:t xml:space="preserve">No action</ns0:t>
        </ns0:is>
      </ns0:c>
    </ns0:row>
    <ns0:row r="10" ht="31" customHeight="1">
      <ns0:c r="A10" s="5" t="inlineStr">
        <ns0:is>
          <ns0:t xml:space="preserve">Silver Creek Campers</ns0:t>
        </ns0:is>
      </ns0:c>
      <ns0:c r="B10" s="5" t="inlineStr">
        <ns0:is>
          <ns0:t xml:space="preserve">Sydney to Sydney</ns0:t>
        </ns0:is>
      </ns0:c>
      <ns0:c r="C10" s="5" t="inlineStr">
        <ns0:is>
          <ns0:t xml:space="preserve">Motorhome | Premium | &lt;35 days</ns0:t>
        </ns0:is>
      </ns0:c>
      <ns0:c r="D10" s="5" t="inlineStr">
        <ns0:is>
          <ns0:t xml:space="preserve">2026-11-08 to 2026-11-15</ns0:t>
        </ns0:is>
      </ns0:c>
      <ns0:c r="E10" s="7">
        <ns0:v>2186.9</ns0:v>
      </ns0:c>
      <ns0:c r="F10" s="7">
        <ns0:v>2066.15</ns0:v>
      </ns0:c>
      <ns0:c r="G10" s="7">
        <ns0:f>IF(AND(ISNUMBER(E10),ISNUMBER(F10)),ROUND(E10-F10,2),"")</ns0:f>
        <ns0:v>120.75</ns0:v>
      </ns0:c>
      <ns0:c r="H10" s="7">
        <ns0:v>2104.65</ns0:v>
      </ns0:c>
      <ns0:c r="I10" s="5" t="str">
        <ns0:f>IF(AND(ISNUMBER(E10),ISNUMBER(F10)),IF(G10=0,"EQUAL",IF(G10&gt;0,"BROKER HIGHER","BROKER LOWER")),"REVIEW")</ns0:f>
        <ns0:v>BROKER HIGHER</ns0:v>
      </ns0:c>
      <ns0:c r="J10" s="5" t="inlineStr">
        <ns0:is>
          <ns0:t xml:space="preserve">Dummy quote; compare cover</ns0:t>
        </ns0:is>
      </ns0:c>
      <ns0:c r="K10" s="5" t="inlineStr">
        <ns0:is>
          <ns0:t xml:space="preserve">Check cover cost</ns0:t>
        </ns0:is>
      </ns0:c>
    </ns0:row>
    <ns0:row r="11" ht="31" customHeight="1">
      <ns0:c r="A11" s="4" t="inlineStr">
        <ns0:is>
          <ns0:t xml:space="preserve">Silver Creek Campers</ns0:t>
        </ns0:is>
      </ns0:c>
      <ns0:c r="B11" s="4" t="inlineStr">
        <ns0:is>
          <ns0:t xml:space="preserve">Sydney to Melbourne</ns0:t>
        </ns0:is>
      </ns0:c>
      <ns0:c r="C11" s="4" t="inlineStr">
        <ns0:is>
          <ns0:t xml:space="preserve">Campervan | Basic | &lt;35 days</ns0:t>
        </ns0:is>
      </ns0:c>
      <ns0:c r="D11" s="4" t="inlineStr">
        <ns0:is>
          <ns0:t xml:space="preserve">2026-11-22 to 2026-11-29</ns0:t>
        </ns0:is>
      </ns0:c>
      <ns0:c r="E11" s="6">
        <ns0:v>1927.0</ns0:v>
      </ns0:c>
      <ns0:c r="F11" s="6">
        <ns0:v>1927.0</ns0:v>
      </ns0:c>
      <ns0:c r="G11" s="6">
        <ns0:f>IF(AND(ISNUMBER(E11),ISNUMBER(F11)),ROUND(E11-F11,2),"")</ns0:f>
        <ns0:v>0.0</ns0:v>
      </ns0:c>
      <ns0:c r="H11" s="6">
        <ns0:v>1979.0</ns0:v>
      </ns0:c>
      <ns0:c r="I11" s="4" t="str">
        <ns0:f>IF(AND(ISNUMBER(E11),ISNUMBER(F11)),IF(G11=0,"EQUAL",IF(G11&gt;0,"BROKER HIGHER","BROKER LOWER")),"REVIEW")</ns0:f>
        <ns0:v>EQUAL</ns0:v>
      </ns0:c>
      <ns0:c r="J11" s="4" t="inlineStr">
        <ns0:is>
          <ns0:t xml:space="preserve">Dummy quote; compare cover</ns0:t>
        </ns0:is>
      </ns0:c>
      <ns0:c r="K11" s="4" t="inlineStr">
        <ns0:is>
          <ns0:t xml:space="preserve">No action</ns0:t>
        </ns0:is>
      </ns0:c>
    </ns0:row>
    <ns0:row r="12" ht="31" customHeight="1">
      <ns0:c r="A12" s="5" t="inlineStr">
        <ns0:is>
          <ns0:t xml:space="preserve">Silver Creek Campers</ns0:t>
        </ns0:is>
      </ns0:c>
      <ns0:c r="B12" s="5" t="inlineStr">
        <ns0:is>
          <ns0:t xml:space="preserve">Sydney to Melbourne</ns0:t>
        </ns0:is>
      </ns0:c>
      <ns0:c r="C12" s="5" t="inlineStr">
        <ns0:is>
          <ns0:t xml:space="preserve">Campervan | Standard | &lt;35 days</ns0:t>
        </ns0:is>
      </ns0:c>
      <ns0:c r="D12" s="5" t="inlineStr">
        <ns0:is>
          <ns0:t xml:space="preserve">2026-11-22 to 2026-11-29</ns0:t>
        </ns0:is>
      </ns0:c>
      <ns0:c r="E12" s="7">
        <ns0:v>2061.45</ns0:v>
      </ns0:c>
      <ns0:c r="F12" s="7">
        <ns0:v>2061.45</ns0:v>
      </ns0:c>
      <ns0:c r="G12" s="7">
        <ns0:f>IF(AND(ISNUMBER(E12),ISNUMBER(F12)),ROUND(E12-F12,2),"")</ns0:f>
        <ns0:v>0.0</ns0:v>
      </ns0:c>
      <ns0:c r="H12" s="7">
        <ns0:v>2126.95</ns0:v>
      </ns0:c>
      <ns0:c r="I12" s="5" t="str">
        <ns0:f>IF(AND(ISNUMBER(E12),ISNUMBER(F12)),IF(G12=0,"EQUAL",IF(G12&gt;0,"BROKER HIGHER","BROKER LOWER")),"REVIEW")</ns0:f>
        <ns0:v>EQUAL</ns0:v>
      </ns0:c>
      <ns0:c r="J12" s="5" t="inlineStr">
        <ns0:is>
          <ns0:t xml:space="preserve">Dummy quote; compare cover</ns0:t>
        </ns0:is>
      </ns0:c>
      <ns0:c r="K12" s="5" t="inlineStr">
        <ns0:is>
          <ns0:t xml:space="preserve">No action</ns0:t>
        </ns0:is>
      </ns0:c>
    </ns0:row>
    <ns0:row r="13" ht="31" customHeight="1">
      <ns0:c r="A13" s="4" t="inlineStr">
        <ns0:is>
          <ns0:t xml:space="preserve">Silver Creek Campers</ns0:t>
        </ns0:is>
      </ns0:c>
      <ns0:c r="B13" s="4" t="inlineStr">
        <ns0:is>
          <ns0:t xml:space="preserve">Sydney to Melbourne</ns0:t>
        </ns0:is>
      </ns0:c>
      <ns0:c r="C13" s="4" t="inlineStr">
        <ns0:is>
          <ns0:t xml:space="preserve">Campervan | Premium | &lt;35 days</ns0:t>
        </ns0:is>
      </ns0:c>
      <ns0:c r="D13" s="4" t="inlineStr">
        <ns0:is>
          <ns0:t xml:space="preserve">2026-11-22 to 2026-11-29</ns0:t>
        </ns0:is>
      </ns0:c>
      <ns0:c r="E13" s="6">
        <ns0:v>2153.4</ns0:v>
      </ns0:c>
      <ns0:c r="F13" s="6">
        <ns0:v>2195.9</ns0:v>
      </ns0:c>
      <ns0:c r="G13" s="6">
        <ns0:f>IF(AND(ISNUMBER(E13),ISNUMBER(F13)),ROUND(E13-F13,2),"")</ns0:f>
        <ns0:v>-42.5</ns0:v>
      </ns0:c>
      <ns0:c r="H13" s="6">
        <ns0:v>2220.9</ns0:v>
      </ns0:c>
      <ns0:c r="I13" s="4" t="str">
        <ns0:f>IF(AND(ISNUMBER(E13),ISNUMBER(F13)),IF(G13=0,"EQUAL",IF(G13&gt;0,"BROKER HIGHER","BROKER LOWER")),"REVIEW")</ns0:f>
        <ns0:v>BROKER LOWER</ns0:v>
      </ns0:c>
      <ns0:c r="J13" s="4" t="inlineStr">
        <ns0:is>
          <ns0:t xml:space="preserve">Dummy quote; compare cover</ns0:t>
        </ns0:is>
      </ns0:c>
      <ns0:c r="K13" s="4" t="inlineStr">
        <ns0:is>
          <ns0:t xml:space="preserve">No action</ns0:t>
        </ns0:is>
      </ns0:c>
    </ns0:row>
    <ns0:row r="14" ht="31" customHeight="1">
      <ns0:c r="A14" s="5" t="inlineStr">
        <ns0:is>
          <ns0:t xml:space="preserve">Silver Creek Campers</ns0:t>
        </ns0:is>
      </ns0:c>
      <ns0:c r="B14" s="5" t="inlineStr">
        <ns0:is>
          <ns0:t xml:space="preserve">Sydney to Melbourne</ns0:t>
        </ns0:is>
      </ns0:c>
      <ns0:c r="C14" s="5" t="inlineStr">
        <ns0:is>
          <ns0:t xml:space="preserve">Motorhome | Basic | &lt;35 days</ns0:t>
        </ns0:is>
      </ns0:c>
      <ns0:c r="D14" s="5" t="inlineStr">
        <ns0:is>
          <ns0:t xml:space="preserve">2026-11-22 to 2026-11-29</ns0:t>
        </ns0:is>
      </ns0:c>
      <ns0:c r="E14" s="7">
        <ns0:v>2121.75</ns0:v>
      </ns0:c>
      <ns0:c r="F14" s="7">
        <ns0:v>2056.75</ns0:v>
      </ns0:c>
      <ns0:c r="G14" s="7">
        <ns0:f>IF(AND(ISNUMBER(E14),ISNUMBER(F14)),ROUND(E14-F14,2),"")</ns0:f>
        <ns0:v>65.0</ns0:v>
      </ns0:c>
      <ns0:c r="H14" s="7">
        <ns0:v>2095.25</ns0:v>
      </ns0:c>
      <ns0:c r="I14" s="5" t="str">
        <ns0:f>IF(AND(ISNUMBER(E14),ISNUMBER(F14)),IF(G14=0,"EQUAL",IF(G14&gt;0,"BROKER HIGHER","BROKER LOWER")),"REVIEW")</ns0:f>
        <ns0:v>BROKER HIGHER</ns0:v>
      </ns0:c>
      <ns0:c r="J14" s="5" t="inlineStr">
        <ns0:is>
          <ns0:t xml:space="preserve">Dummy quote; compare cover</ns0:t>
        </ns0:is>
      </ns0:c>
      <ns0:c r="K14" s="5" t="inlineStr">
        <ns0:is>
          <ns0:t xml:space="preserve">Check cover cost</ns0:t>
        </ns0:is>
      </ns0:c>
    </ns0:row>
    <ns0:row r="15" ht="31" customHeight="1">
      <ns0:c r="A15" s="4" t="inlineStr">
        <ns0:is>
          <ns0:t xml:space="preserve">Silver Creek Campers</ns0:t>
        </ns0:is>
      </ns0:c>
      <ns0:c r="B15" s="4" t="inlineStr">
        <ns0:is>
          <ns0:t xml:space="preserve">Sydney to Melbourne</ns0:t>
        </ns0:is>
      </ns0:c>
      <ns0:c r="C15" s="4" t="inlineStr">
        <ns0:is>
          <ns0:t xml:space="preserve">Motorhome | Standard | &lt;35 days</ns0:t>
        </ns0:is>
      </ns0:c>
      <ns0:c r="D15" s="4" t="inlineStr">
        <ns0:is>
          <ns0:t xml:space="preserve">2026-11-22 to 2026-11-29</ns0:t>
        </ns0:is>
      </ns0:c>
      <ns0:c r="E15" s="6" t="inlineStr">
        <ns0:is>
          <ns0:t xml:space="preserve">Unavailable</ns0:t>
        </ns0:is>
      </ns0:c>
      <ns0:c r="F15" s="6">
        <ns0:v>2191.2</ns0:v>
      </ns0:c>
      <ns0:c r="G15" s="6" t="str">
        <ns0:f>IF(AND(ISNUMBER(E15),ISNUMBER(F15)),ROUND(E15-F15,2),"")</ns0:f>
        <ns0:v/>
      </ns0:c>
      <ns0:c r="H15" s="6">
        <ns0:v>2243.2</ns0:v>
      </ns0:c>
      <ns0:c r="I15" s="4" t="str">
        <ns0:f>IF(AND(ISNUMBER(E15),ISNUMBER(F15)),IF(G15=0,"EQUAL",IF(G15&gt;0,"BROKER HIGHER","BROKER LOWER")),"REVIEW")</ns0:f>
        <ns0:v>REVIEW</ns0:v>
      </ns0:c>
      <ns0:c r="J15" s="4" t="inlineStr">
        <ns0:is>
          <ns0:t xml:space="preserve">Simulated quote unavailable</ns0:t>
        </ns0:is>
      </ns0:c>
      <ns0:c r="K15" s="4" t="inlineStr">
        <ns0:is>
          <ns0:t xml:space="preserve">Request sample quote</ns0:t>
        </ns0:is>
      </ns0:c>
    </ns0:row>
    <ns0:row r="16" ht="31" customHeight="1">
      <ns0:c r="A16" s="5" t="inlineStr">
        <ns0:is>
          <ns0:t xml:space="preserve">Silver Creek Campers</ns0:t>
        </ns0:is>
      </ns0:c>
      <ns0:c r="B16" s="5" t="inlineStr">
        <ns0:is>
          <ns0:t xml:space="preserve">Sydney to Melbourne</ns0:t>
        </ns0:is>
      </ns0:c>
      <ns0:c r="C16" s="5" t="inlineStr">
        <ns0:is>
          <ns0:t xml:space="preserve">Motorhome | Premium | &lt;35 days</ns0:t>
        </ns0:is>
      </ns0:c>
      <ns0:c r="D16" s="5" t="inlineStr">
        <ns0:is>
          <ns0:t xml:space="preserve">2026-11-22 to 2026-11-29</ns0:t>
        </ns0:is>
      </ns0:c>
      <ns0:c r="E16" s="7">
        <ns0:v>2446.4</ns0:v>
      </ns0:c>
      <ns0:c r="F16" s="7">
        <ns0:v>2325.65</ns0:v>
      </ns0:c>
      <ns0:c r="G16" s="7">
        <ns0:f>IF(AND(ISNUMBER(E16),ISNUMBER(F16)),ROUND(E16-F16,2),"")</ns0:f>
        <ns0:v>120.75</ns0:v>
      </ns0:c>
      <ns0:c r="H16" s="7">
        <ns0:v>2391.15</ns0:v>
      </ns0:c>
      <ns0:c r="I16" s="5" t="str">
        <ns0:f>IF(AND(ISNUMBER(E16),ISNUMBER(F16)),IF(G16=0,"EQUAL",IF(G16&gt;0,"BROKER HIGHER","BROKER LOWER")),"REVIEW")</ns0:f>
        <ns0:v>BROKER HIGHER</ns0:v>
      </ns0:c>
      <ns0:c r="J16" s="5" t="inlineStr">
        <ns0:is>
          <ns0:t xml:space="preserve">Dummy quote; compare cover</ns0:t>
        </ns0:is>
      </ns0:c>
      <ns0:c r="K16" s="5" t="inlineStr">
        <ns0:is>
          <ns0:t xml:space="preserve">Check cover cost</ns0:t>
        </ns0:is>
      </ns0:c>
    </ns0:row>
    <ns0:row r="17" ht="31" customHeight="1">
      <ns0:c r="A17" s="4" t="inlineStr">
        <ns0:is>
          <ns0:t xml:space="preserve">Silver Creek Campers</ns0:t>
        </ns0:is>
      </ns0:c>
      <ns0:c r="B17" s="4" t="inlineStr">
        <ns0:is>
          <ns0:t xml:space="preserve">Brisbane to Cairns</ns0:t>
        </ns0:is>
      </ns0:c>
      <ns0:c r="C17" s="4" t="inlineStr">
        <ns0:is>
          <ns0:t xml:space="preserve">Campervan | Basic | &gt;35 days</ns0:t>
        </ns0:is>
      </ns0:c>
      <ns0:c r="D17" s="4" t="inlineStr">
        <ns0:is>
          <ns0:t xml:space="preserve">2026-12-06 to 2026-12-13</ns0:t>
        </ns0:is>
      </ns0:c>
      <ns0:c r="E17" s="6">
        <ns0:v>2186.5</ns0:v>
      </ns0:c>
      <ns0:c r="F17" s="6">
        <ns0:v>2186.5</ns0:v>
      </ns0:c>
      <ns0:c r="G17" s="6">
        <ns0:f>IF(AND(ISNUMBER(E17),ISNUMBER(F17)),ROUND(E17-F17,2),"")</ns0:f>
        <ns0:v>0.0</ns0:v>
      </ns0:c>
      <ns0:c r="H17" s="6">
        <ns0:v>2211.5</ns0:v>
      </ns0:c>
      <ns0:c r="I17" s="4" t="str">
        <ns0:f>IF(AND(ISNUMBER(E17),ISNUMBER(F17)),IF(G17=0,"EQUAL",IF(G17&gt;0,"BROKER HIGHER","BROKER LOWER")),"REVIEW")</ns0:f>
        <ns0:v>EQUAL</ns0:v>
      </ns0:c>
      <ns0:c r="J17" s="4" t="inlineStr">
        <ns0:is>
          <ns0:t xml:space="preserve">Dummy quote; compare cover</ns0:t>
        </ns0:is>
      </ns0:c>
      <ns0:c r="K17" s="4" t="inlineStr">
        <ns0:is>
          <ns0:t xml:space="preserve">No action</ns0:t>
        </ns0:is>
      </ns0:c>
    </ns0:row>
    <ns0:row r="18" ht="31" customHeight="1">
      <ns0:c r="A18" s="5" t="inlineStr">
        <ns0:is>
          <ns0:t xml:space="preserve">Silver Creek Campers</ns0:t>
        </ns0:is>
      </ns0:c>
      <ns0:c r="B18" s="5" t="inlineStr">
        <ns0:is>
          <ns0:t xml:space="preserve">Brisbane to Cairns</ns0:t>
        </ns0:is>
      </ns0:c>
      <ns0:c r="C18" s="5" t="inlineStr">
        <ns0:is>
          <ns0:t xml:space="preserve">Campervan | Standard | &gt;35 days</ns0:t>
        </ns0:is>
      </ns0:c>
      <ns0:c r="D18" s="5" t="inlineStr">
        <ns0:is>
          <ns0:t xml:space="preserve">2026-12-06 to 2026-12-13</ns0:t>
        </ns0:is>
      </ns0:c>
      <ns0:c r="E18" s="7">
        <ns0:v>2320.95</ns0:v>
      </ns0:c>
      <ns0:c r="F18" s="7">
        <ns0:v>2320.95</ns0:v>
      </ns0:c>
      <ns0:c r="G18" s="7">
        <ns0:f>IF(AND(ISNUMBER(E18),ISNUMBER(F18)),ROUND(E18-F18,2),"")</ns0:f>
        <ns0:v>0.0</ns0:v>
      </ns0:c>
      <ns0:c r="H18" s="7">
        <ns0:v>2359.45</ns0:v>
      </ns0:c>
      <ns0:c r="I18" s="5" t="str">
        <ns0:f>IF(AND(ISNUMBER(E18),ISNUMBER(F18)),IF(G18=0,"EQUAL",IF(G18&gt;0,"BROKER HIGHER","BROKER LOWER")),"REVIEW")</ns0:f>
        <ns0:v>EQUAL</ns0:v>
      </ns0:c>
      <ns0:c r="J18" s="5" t="inlineStr">
        <ns0:is>
          <ns0:t xml:space="preserve">Dummy quote; compare cover</ns0:t>
        </ns0:is>
      </ns0:c>
      <ns0:c r="K18" s="5" t="inlineStr">
        <ns0:is>
          <ns0:t xml:space="preserve">No action</ns0:t>
        </ns0:is>
      </ns0:c>
    </ns0:row>
    <ns0:row r="19" ht="31" customHeight="1">
      <ns0:c r="A19" s="4" t="inlineStr">
        <ns0:is>
          <ns0:t xml:space="preserve">Silver Creek Campers</ns0:t>
        </ns0:is>
      </ns0:c>
      <ns0:c r="B19" s="4" t="inlineStr">
        <ns0:is>
          <ns0:t xml:space="preserve">Brisbane to Cairns</ns0:t>
        </ns0:is>
      </ns0:c>
      <ns0:c r="C19" s="4" t="inlineStr">
        <ns0:is>
          <ns0:t xml:space="preserve">Campervan | Premium | &gt;35 days</ns0:t>
        </ns0:is>
      </ns0:c>
      <ns0:c r="D19" s="4" t="inlineStr">
        <ns0:is>
          <ns0:t xml:space="preserve">2026-12-06 to 2026-12-13</ns0:t>
        </ns0:is>
      </ns0:c>
      <ns0:c r="E19" s="6">
        <ns0:v>2412.9</ns0:v>
      </ns0:c>
      <ns0:c r="F19" s="6">
        <ns0:v>2455.4</ns0:v>
      </ns0:c>
      <ns0:c r="G19" s="6">
        <ns0:f>IF(AND(ISNUMBER(E19),ISNUMBER(F19)),ROUND(E19-F19,2),"")</ns0:f>
        <ns0:v>-42.5</ns0:v>
      </ns0:c>
      <ns0:c r="H19" s="6">
        <ns0:v>2507.4</ns0:v>
      </ns0:c>
      <ns0:c r="I19" s="4" t="str">
        <ns0:f>IF(AND(ISNUMBER(E19),ISNUMBER(F19)),IF(G19=0,"EQUAL",IF(G19&gt;0,"BROKER HIGHER","BROKER LOWER")),"REVIEW")</ns0:f>
        <ns0:v>BROKER LOWER</ns0:v>
      </ns0:c>
      <ns0:c r="J19" s="4" t="inlineStr">
        <ns0:is>
          <ns0:t xml:space="preserve">Dummy quote; compare cover</ns0:t>
        </ns0:is>
      </ns0:c>
      <ns0:c r="K19" s="4" t="inlineStr">
        <ns0:is>
          <ns0:t xml:space="preserve">No action</ns0:t>
        </ns0:is>
      </ns0:c>
    </ns0:row>
    <ns0:row r="20" ht="31" customHeight="1">
      <ns0:c r="A20" s="5" t="inlineStr">
        <ns0:is>
          <ns0:t xml:space="preserve">Silver Creek Campers</ns0:t>
        </ns0:is>
      </ns0:c>
      <ns0:c r="B20" s="5" t="inlineStr">
        <ns0:is>
          <ns0:t xml:space="preserve">Brisbane to Cairns</ns0:t>
        </ns0:is>
      </ns0:c>
      <ns0:c r="C20" s="5" t="inlineStr">
        <ns0:is>
          <ns0:t xml:space="preserve">Motorhome | Basic | &gt;35 days</ns0:t>
        </ns0:is>
      </ns0:c>
      <ns0:c r="D20" s="5" t="inlineStr">
        <ns0:is>
          <ns0:t xml:space="preserve">2026-12-06 to 2026-12-13</ns0:t>
        </ns0:is>
      </ns0:c>
      <ns0:c r="E20" s="7">
        <ns0:v>2381.25</ns0:v>
      </ns0:c>
      <ns0:c r="F20" s="7">
        <ns0:v>2316.25</ns0:v>
      </ns0:c>
      <ns0:c r="G20" s="7">
        <ns0:f>IF(AND(ISNUMBER(E20),ISNUMBER(F20)),ROUND(E20-F20,2),"")</ns0:f>
        <ns0:v>65.0</ns0:v>
      </ns0:c>
      <ns0:c r="H20" s="7">
        <ns0:v>2381.75</ns0:v>
      </ns0:c>
      <ns0:c r="I20" s="5" t="str">
        <ns0:f>IF(AND(ISNUMBER(E20),ISNUMBER(F20)),IF(G20=0,"EQUAL",IF(G20&gt;0,"BROKER HIGHER","BROKER LOWER")),"REVIEW")</ns0:f>
        <ns0:v>BROKER HIGHER</ns0:v>
      </ns0:c>
      <ns0:c r="J20" s="5" t="inlineStr">
        <ns0:is>
          <ns0:t xml:space="preserve">Dummy quote; compare cover</ns0:t>
        </ns0:is>
      </ns0:c>
      <ns0:c r="K20" s="5" t="inlineStr">
        <ns0:is>
          <ns0:t xml:space="preserve">Check cover cost</ns0:t>
        </ns0:is>
      </ns0:c>
    </ns0:row>
    <ns0:row r="21" ht="31" customHeight="1">
      <ns0:c r="A21" s="4" t="inlineStr">
        <ns0:is>
          <ns0:t xml:space="preserve">Silver Creek Campers</ns0:t>
        </ns0:is>
      </ns0:c>
      <ns0:c r="B21" s="4" t="inlineStr">
        <ns0:is>
          <ns0:t xml:space="preserve">Brisbane to Cairns</ns0:t>
        </ns0:is>
      </ns0:c>
      <ns0:c r="C21" s="4" t="inlineStr">
        <ns0:is>
          <ns0:t xml:space="preserve">Motorhome | Standard | &gt;35 days</ns0:t>
        </ns0:is>
      </ns0:c>
      <ns0:c r="D21" s="4" t="inlineStr">
        <ns0:is>
          <ns0:t xml:space="preserve">2026-12-06 to 2026-12-13</ns0:t>
        </ns0:is>
      </ns0:c>
      <ns0:c r="E21" s="6">
        <ns0:v>2433.45</ns0:v>
      </ns0:c>
      <ns0:c r="F21" s="6">
        <ns0:v>2450.7</ns0:v>
      </ns0:c>
      <ns0:c r="G21" s="6">
        <ns0:f>IF(AND(ISNUMBER(E21),ISNUMBER(F21)),ROUND(E21-F21,2),"")</ns0:f>
        <ns0:v>-17.25</ns0:v>
      </ns0:c>
      <ns0:c r="H21" s="6">
        <ns0:v>2475.7</ns0:v>
      </ns0:c>
      <ns0:c r="I21" s="4" t="str">
        <ns0:f>IF(AND(ISNUMBER(E21),ISNUMBER(F21)),IF(G21=0,"EQUAL",IF(G21&gt;0,"BROKER HIGHER","BROKER LOWER")),"REVIEW")</ns0:f>
        <ns0:v>BROKER LOWER</ns0:v>
      </ns0:c>
      <ns0:c r="J21" s="4" t="inlineStr">
        <ns0:is>
          <ns0:t xml:space="preserve">Dummy quote; compare cover</ns0:t>
        </ns0:is>
      </ns0:c>
      <ns0:c r="K21" s="4" t="inlineStr">
        <ns0:is>
          <ns0:t xml:space="preserve">No action</ns0:t>
        </ns0:is>
      </ns0:c>
    </ns0:row>
    <ns0:row r="22" ht="31" customHeight="1">
      <ns0:c r="A22" s="5" t="inlineStr">
        <ns0:is>
          <ns0:t xml:space="preserve">Silver Creek Campers</ns0:t>
        </ns0:is>
      </ns0:c>
      <ns0:c r="B22" s="5" t="inlineStr">
        <ns0:is>
          <ns0:t xml:space="preserve">Brisbane to Cairns</ns0:t>
        </ns0:is>
      </ns0:c>
      <ns0:c r="C22" s="5" t="inlineStr">
        <ns0:is>
          <ns0:t xml:space="preserve">Motorhome | Premium | &gt;35 days</ns0:t>
        </ns0:is>
      </ns0:c>
      <ns0:c r="D22" s="5" t="inlineStr">
        <ns0:is>
          <ns0:t xml:space="preserve">2026-12-06 to 2026-12-13</ns0:t>
        </ns0:is>
      </ns0:c>
      <ns0:c r="E22" s="7">
        <ns0:v>2705.9</ns0:v>
      </ns0:c>
      <ns0:c r="F22" s="7">
        <ns0:v>2585.15</ns0:v>
      </ns0:c>
      <ns0:c r="G22" s="7">
        <ns0:f>IF(AND(ISNUMBER(E22),ISNUMBER(F22)),ROUND(E22-F22,2),"")</ns0:f>
        <ns0:v>120.75</ns0:v>
      </ns0:c>
      <ns0:c r="H22" s="7">
        <ns0:v>2623.65</ns0:v>
      </ns0:c>
      <ns0:c r="I22" s="5" t="str">
        <ns0:f>IF(AND(ISNUMBER(E22),ISNUMBER(F22)),IF(G22=0,"EQUAL",IF(G22&gt;0,"BROKER HIGHER","BROKER LOWER")),"REVIEW")</ns0:f>
        <ns0:v>BROKER HIGHER</ns0:v>
      </ns0:c>
      <ns0:c r="J22" s="5" t="inlineStr">
        <ns0:is>
          <ns0:t xml:space="preserve">Dummy quote; compare cover</ns0:t>
        </ns0:is>
      </ns0:c>
      <ns0:c r="K22" s="5" t="inlineStr">
        <ns0:is>
          <ns0:t xml:space="preserve">Check cover cost</ns0:t>
        </ns0:is>
      </ns0:c>
    </ns0:row>
    <ns0:row r="23" ht="31" customHeight="1">
      <ns0:c r="A23" s="4" t="inlineStr">
        <ns0:is>
          <ns0:t xml:space="preserve">Silver Creek Campers</ns0:t>
        </ns0:is>
      </ns0:c>
      <ns0:c r="B23" s="4" t="inlineStr">
        <ns0:is>
          <ns0:t xml:space="preserve">Perth to Perth</ns0:t>
        </ns0:is>
      </ns0:c>
      <ns0:c r="C23" s="4" t="inlineStr">
        <ns0:is>
          <ns0:t xml:space="preserve">Campervan | Basic | &gt;35 days</ns0:t>
        </ns0:is>
      </ns0:c>
      <ns0:c r="D23" s="4" t="inlineStr">
        <ns0:is>
          <ns0:t xml:space="preserve">2026-12-20 to 2026-12-27</ns0:t>
        </ns0:is>
      </ns0:c>
      <ns0:c r="E23" s="6">
        <ns0:v>2446.0</ns0:v>
      </ns0:c>
      <ns0:c r="F23" s="6">
        <ns0:v>2446.0</ns0:v>
      </ns0:c>
      <ns0:c r="G23" s="6">
        <ns0:f>IF(AND(ISNUMBER(E23),ISNUMBER(F23)),ROUND(E23-F23,2),"")</ns0:f>
        <ns0:v>0.0</ns0:v>
      </ns0:c>
      <ns0:c r="H23" s="6">
        <ns0:v>2498.0</ns0:v>
      </ns0:c>
      <ns0:c r="I23" s="4" t="str">
        <ns0:f>IF(AND(ISNUMBER(E23),ISNUMBER(F23)),IF(G23=0,"EQUAL",IF(G23&gt;0,"BROKER HIGHER","BROKER LOWER")),"REVIEW")</ns0:f>
        <ns0:v>EQUAL</ns0:v>
      </ns0:c>
      <ns0:c r="J23" s="4" t="inlineStr">
        <ns0:is>
          <ns0:t xml:space="preserve">Dummy quote; compare cover</ns0:t>
        </ns0:is>
      </ns0:c>
      <ns0:c r="K23" s="4" t="inlineStr">
        <ns0:is>
          <ns0:t xml:space="preserve">No action</ns0:t>
        </ns0:is>
      </ns0:c>
    </ns0:row>
    <ns0:row r="24" ht="31" customHeight="1">
      <ns0:c r="A24" s="5" t="inlineStr">
        <ns0:is>
          <ns0:t xml:space="preserve">Silver Creek Campers</ns0:t>
        </ns0:is>
      </ns0:c>
      <ns0:c r="B24" s="5" t="inlineStr">
        <ns0:is>
          <ns0:t xml:space="preserve">Perth to Perth</ns0:t>
        </ns0:is>
      </ns0:c>
      <ns0:c r="C24" s="5" t="inlineStr">
        <ns0:is>
          <ns0:t xml:space="preserve">Campervan | Standard | &gt;35 days</ns0:t>
        </ns0:is>
      </ns0:c>
      <ns0:c r="D24" s="5" t="inlineStr">
        <ns0:is>
          <ns0:t xml:space="preserve">2026-12-20 to 2026-12-27</ns0:t>
        </ns0:is>
      </ns0:c>
      <ns0:c r="E24" s="7">
        <ns0:v>2580.45</ns0:v>
      </ns0:c>
      <ns0:c r="F24" s="7">
        <ns0:v>2580.45</ns0:v>
      </ns0:c>
      <ns0:c r="G24" s="7">
        <ns0:f>IF(AND(ISNUMBER(E24),ISNUMBER(F24)),ROUND(E24-F24,2),"")</ns0:f>
        <ns0:v>0.0</ns0:v>
      </ns0:c>
      <ns0:c r="H24" s="7">
        <ns0:v>2645.95</ns0:v>
      </ns0:c>
      <ns0:c r="I24" s="5" t="str">
        <ns0:f>IF(AND(ISNUMBER(E24),ISNUMBER(F24)),IF(G24=0,"EQUAL",IF(G24&gt;0,"BROKER HIGHER","BROKER LOWER")),"REVIEW")</ns0:f>
        <ns0:v>EQUAL</ns0:v>
      </ns0:c>
      <ns0:c r="J24" s="5" t="inlineStr">
        <ns0:is>
          <ns0:t xml:space="preserve">Dummy quote; compare cover</ns0:t>
        </ns0:is>
      </ns0:c>
      <ns0:c r="K24" s="5" t="inlineStr">
        <ns0:is>
          <ns0:t xml:space="preserve">No action</ns0:t>
        </ns0:is>
      </ns0:c>
    </ns0:row>
    <ns0:row r="25" ht="31" customHeight="1">
      <ns0:c r="A25" s="4" t="inlineStr">
        <ns0:is>
          <ns0:t xml:space="preserve">Silver Creek Campers</ns0:t>
        </ns0:is>
      </ns0:c>
      <ns0:c r="B25" s="4" t="inlineStr">
        <ns0:is>
          <ns0:t xml:space="preserve">Perth to Perth</ns0:t>
        </ns0:is>
      </ns0:c>
      <ns0:c r="C25" s="4" t="inlineStr">
        <ns0:is>
          <ns0:t xml:space="preserve">Campervan | Premium | &gt;35 days</ns0:t>
        </ns0:is>
      </ns0:c>
      <ns0:c r="D25" s="4" t="inlineStr">
        <ns0:is>
          <ns0:t xml:space="preserve">2026-12-20 to 2026-12-27</ns0:t>
        </ns0:is>
      </ns0:c>
      <ns0:c r="E25" s="6">
        <ns0:v>2672.4</ns0:v>
      </ns0:c>
      <ns0:c r="F25" s="6">
        <ns0:v>2714.9</ns0:v>
      </ns0:c>
      <ns0:c r="G25" s="6">
        <ns0:f>IF(AND(ISNUMBER(E25),ISNUMBER(F25)),ROUND(E25-F25,2),"")</ns0:f>
        <ns0:v>-42.5</ns0:v>
      </ns0:c>
      <ns0:c r="H25" s="6">
        <ns0:v>2739.9</ns0:v>
      </ns0:c>
      <ns0:c r="I25" s="4" t="str">
        <ns0:f>IF(AND(ISNUMBER(E25),ISNUMBER(F25)),IF(G25=0,"EQUAL",IF(G25&gt;0,"BROKER HIGHER","BROKER LOWER")),"REVIEW")</ns0:f>
        <ns0:v>BROKER LOWER</ns0:v>
      </ns0:c>
      <ns0:c r="J25" s="4" t="inlineStr">
        <ns0:is>
          <ns0:t xml:space="preserve">Dummy quote; compare cover</ns0:t>
        </ns0:is>
      </ns0:c>
      <ns0:c r="K25" s="4" t="inlineStr">
        <ns0:is>
          <ns0:t xml:space="preserve">No action</ns0:t>
        </ns0:is>
      </ns0:c>
    </ns0:row>
    <ns0:row r="26" ht="31" customHeight="1">
      <ns0:c r="A26" s="5" t="inlineStr">
        <ns0:is>
          <ns0:t xml:space="preserve">Silver Creek Campers</ns0:t>
        </ns0:is>
      </ns0:c>
      <ns0:c r="B26" s="5" t="inlineStr">
        <ns0:is>
          <ns0:t xml:space="preserve">Perth to Perth</ns0:t>
        </ns0:is>
      </ns0:c>
      <ns0:c r="C26" s="5" t="inlineStr">
        <ns0:is>
          <ns0:t xml:space="preserve">Motorhome | Basic | &gt;35 days</ns0:t>
        </ns0:is>
      </ns0:c>
      <ns0:c r="D26" s="5" t="inlineStr">
        <ns0:is>
          <ns0:t xml:space="preserve">2026-12-20 to 2026-12-27</ns0:t>
        </ns0:is>
      </ns0:c>
      <ns0:c r="E26" s="7">
        <ns0:v>2640.75</ns0:v>
      </ns0:c>
      <ns0:c r="F26" s="7">
        <ns0:v>2575.75</ns0:v>
      </ns0:c>
      <ns0:c r="G26" s="7">
        <ns0:f>IF(AND(ISNUMBER(E26),ISNUMBER(F26)),ROUND(E26-F26,2),"")</ns0:f>
        <ns0:v>65.0</ns0:v>
      </ns0:c>
      <ns0:c r="H26" s="7">
        <ns0:v>2614.25</ns0:v>
      </ns0:c>
      <ns0:c r="I26" s="5" t="str">
        <ns0:f>IF(AND(ISNUMBER(E26),ISNUMBER(F26)),IF(G26=0,"EQUAL",IF(G26&gt;0,"BROKER HIGHER","BROKER LOWER")),"REVIEW")</ns0:f>
        <ns0:v>BROKER HIGHER</ns0:v>
      </ns0:c>
      <ns0:c r="J26" s="5" t="inlineStr">
        <ns0:is>
          <ns0:t xml:space="preserve">Dummy quote; compare cover</ns0:t>
        </ns0:is>
      </ns0:c>
      <ns0:c r="K26" s="5" t="inlineStr">
        <ns0:is>
          <ns0:t xml:space="preserve">Check cover cost</ns0:t>
        </ns0:is>
      </ns0:c>
    </ns0:row>
    <ns0:row r="27" ht="31" customHeight="1">
      <ns0:c r="A27" s="4" t="inlineStr">
        <ns0:is>
          <ns0:t xml:space="preserve">Silver Creek Campers</ns0:t>
        </ns0:is>
      </ns0:c>
      <ns0:c r="B27" s="4" t="inlineStr">
        <ns0:is>
          <ns0:t xml:space="preserve">Perth to Perth</ns0:t>
        </ns0:is>
      </ns0:c>
      <ns0:c r="C27" s="4" t="inlineStr">
        <ns0:is>
          <ns0:t xml:space="preserve">Motorhome | Standard | &gt;35 days</ns0:t>
        </ns0:is>
      </ns0:c>
      <ns0:c r="D27" s="4" t="inlineStr">
        <ns0:is>
          <ns0:t xml:space="preserve">2026-12-20 to 2026-12-27</ns0:t>
        </ns0:is>
      </ns0:c>
      <ns0:c r="E27" s="6" t="inlineStr">
        <ns0:is>
          <ns0:t xml:space="preserve">Unavailable</ns0:t>
        </ns0:is>
      </ns0:c>
      <ns0:c r="F27" s="6">
        <ns0:v>2710.2</ns0:v>
      </ns0:c>
      <ns0:c r="G27" s="6" t="str">
        <ns0:f>IF(AND(ISNUMBER(E27),ISNUMBER(F27)),ROUND(E27-F27,2),"")</ns0:f>
        <ns0:v/>
      </ns0:c>
      <ns0:c r="H27" s="6">
        <ns0:v>2762.2</ns0:v>
      </ns0:c>
      <ns0:c r="I27" s="4" t="str">
        <ns0:f>IF(AND(ISNUMBER(E27),ISNUMBER(F27)),IF(G27=0,"EQUAL",IF(G27&gt;0,"BROKER HIGHER","BROKER LOWER")),"REVIEW")</ns0:f>
        <ns0:v>REVIEW</ns0:v>
      </ns0:c>
      <ns0:c r="J27" s="4" t="inlineStr">
        <ns0:is>
          <ns0:t xml:space="preserve">Simulated quote unavailable</ns0:t>
        </ns0:is>
      </ns0:c>
      <ns0:c r="K27" s="4" t="inlineStr">
        <ns0:is>
          <ns0:t xml:space="preserve">Request sample quote</ns0:t>
        </ns0:is>
      </ns0:c>
    </ns0:row>
    <ns0:row r="28" ht="31" customHeight="1">
      <ns0:c r="A28" s="5" t="inlineStr">
        <ns0:is>
          <ns0:t xml:space="preserve">Silver Creek Campers</ns0:t>
        </ns0:is>
      </ns0:c>
      <ns0:c r="B28" s="5" t="inlineStr">
        <ns0:is>
          <ns0:t xml:space="preserve">Perth to Perth</ns0:t>
        </ns0:is>
      </ns0:c>
      <ns0:c r="C28" s="5" t="inlineStr">
        <ns0:is>
          <ns0:t xml:space="preserve">Motorhome | Premium | &gt;35 days</ns0:t>
        </ns0:is>
      </ns0:c>
      <ns0:c r="D28" s="5" t="inlineStr">
        <ns0:is>
          <ns0:t xml:space="preserve">2026-12-20 to 2026-12-27</ns0:t>
        </ns0:is>
      </ns0:c>
      <ns0:c r="E28" s="7">
        <ns0:v>2965.4</ns0:v>
      </ns0:c>
      <ns0:c r="F28" s="7">
        <ns0:v>2844.65</ns0:v>
      </ns0:c>
      <ns0:c r="G28" s="7">
        <ns0:f>IF(AND(ISNUMBER(E28),ISNUMBER(F28)),ROUND(E28-F28,2),"")</ns0:f>
        <ns0:v>120.75</ns0:v>
      </ns0:c>
      <ns0:c r="H28" s="7">
        <ns0:v>2910.15</ns0:v>
      </ns0:c>
      <ns0:c r="I28" s="5" t="str">
        <ns0:f>IF(AND(ISNUMBER(E28),ISNUMBER(F28)),IF(G28=0,"EQUAL",IF(G28&gt;0,"BROKER HIGHER","BROKER LOWER")),"REVIEW")</ns0:f>
        <ns0:v>BROKER HIGHER</ns0:v>
      </ns0:c>
      <ns0:c r="J28" s="5" t="inlineStr">
        <ns0:is>
          <ns0:t xml:space="preserve">Dummy quote; compare cover</ns0:t>
        </ns0:is>
      </ns0:c>
      <ns0:c r="K28" s="5" t="inlineStr">
        <ns0:is>
          <ns0:t xml:space="preserve">Check cover cost</ns0:t>
        </ns0:is>
      </ns0:c>
    </ns0:row>
  </ns0:sheetData>
  <ns0:autoFilter ref="A4:K28"/>
  <ns0:mergeCells count="2">
    <ns0:mergeCell ref="A1:K1"/>
    <ns0:mergeCell ref="A2:K2"/>
  </ns0:mergeCells>
  <ns0:conditionalFormatting sqref="I5:I28">
    <ns0:cfRule type="cellIs" dxfId="0" priority="1" operator="equal">
      <ns0:formula>"BROKER HIGHER"</ns0:formula>
    </ns0:cfRule>
    <ns0:cfRule type="cellIs" dxfId="1" priority="2" operator="equal">
      <ns0:formula>"BROKER LOWER"</ns0:formula>
    </ns0:cfRule>
    <ns0:cfRule type="cellIs" dxfId="2" priority="3" operator="equal">
      <ns0:formula>"EQUAL"</ns0:formula>
    </ns0:cfRule>
    <ns0:cfRule type="cellIs" dxfId="3" priority="4" operator="equal">
      <ns0:formula>"REVIEW"</ns0:formula>
    </ns0:cfRule>
  </ns0:conditionalFormatting>
  <ns0:pageMargins left="0.25" right="0.25" top="0.5" bottom="0.5" header="0.2" footer="0.2"/>
  <ns0:pageSetup orientation="landscape" paperSize="9" fitToWidth="1" fitToHeight="0"/>
  <ns0:headerFooter>
    <ns0:oddFooter>&amp;LSIMULATED DATA&amp;RP &amp;P of &amp;N</ns0:oddFooter>
  </ns0:headerFooter>
</ns0:worksheet>
</file>