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Coastal Fern Travel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Coastal Fern Travel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6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22.90909090909091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43689.0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47545.8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Coastal Fern Travel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Coastal Fern Travel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2026-11-06 to 2026-11-13</ns0:t>
        </ns0:is>
      </ns0:c>
      <ns0:c r="E5" s="6">
        <ns0:v>1375.25</ns0:v>
      </ns0:c>
      <ns0:c r="F5" s="6">
        <ns0:v>1392.5</ns0:v>
      </ns0:c>
      <ns0:c r="G5" s="6">
        <ns0:f>IF(AND(ISNUMBER(E5),ISNUMBER(F5)),ROUND(E5-F5,2),"")</ns0:f>
        <ns0:v>-17.25</ns0:v>
      </ns0:c>
      <ns0:c r="H5" s="6">
        <ns0:v>1417.5</ns0:v>
      </ns0:c>
      <ns0:c r="I5" s="4" t="str">
        <ns0:f>IF(AND(ISNUMBER(E5),ISNUMBER(F5)),IF(G5=0,"EQUAL",IF(G5&gt;0,"BROKER HIGHER","BROKER LOWER")),"REVIEW")</ns0:f>
        <ns0:v>BROKER LOWER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Coastal Fern Travel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2026-11-06 to 2026-11-13</ns0:t>
        </ns0:is>
      </ns0:c>
      <ns0:c r="E6" s="7">
        <ns0:v>1647.7</ns0:v>
      </ns0:c>
      <ns0:c r="F6" s="7">
        <ns0:v>1526.95</ns0:v>
      </ns0:c>
      <ns0:c r="G6" s="7">
        <ns0:f>IF(AND(ISNUMBER(E6),ISNUMBER(F6)),ROUND(E6-F6,2),"")</ns0:f>
        <ns0:v>120.75</ns0:v>
      </ns0:c>
      <ns0:c r="H6" s="7">
        <ns0:v>1565.45</ns0:v>
      </ns0:c>
      <ns0:c r="I6" s="5" t="str">
        <ns0:f>IF(AND(ISNUMBER(E6),ISNUMBER(F6)),IF(G6=0,"EQUAL",IF(G6&gt;0,"BROKER HIGHER","BROKER LOWER")),"REVIEW")</ns0:f>
        <ns0:v>BROKER HIGHER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Check cover cost</ns0:t>
        </ns0:is>
      </ns0:c>
    </ns0:row>
    <ns0:row r="7" ht="31" customHeight="1">
      <ns0:c r="A7" s="4" t="inlineStr">
        <ns0:is>
          <ns0:t xml:space="preserve">Coastal Fern Travel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2026-11-06 to 2026-11-13</ns0:t>
        </ns0:is>
      </ns0:c>
      <ns0:c r="E7" s="6">
        <ns0:v>1661.4</ns0:v>
      </ns0:c>
      <ns0:c r="F7" s="6">
        <ns0:v>1661.4</ns0:v>
      </ns0:c>
      <ns0:c r="G7" s="6">
        <ns0:f>IF(AND(ISNUMBER(E7),ISNUMBER(F7)),ROUND(E7-F7,2),"")</ns0:f>
        <ns0:v>0.0</ns0:v>
      </ns0:c>
      <ns0:c r="H7" s="6">
        <ns0:v>1713.4</ns0:v>
      </ns0:c>
      <ns0:c r="I7" s="4" t="str">
        <ns0:f>IF(AND(ISNUMBER(E7),ISNUMBER(F7)),IF(G7=0,"EQUAL",IF(G7&gt;0,"BROKER HIGHER","BROKER LOWER")),"REVIEW")</ns0:f>
        <ns0:v>EQUAL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Coastal Fern Travel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2026-11-06 to 2026-11-13</ns0:t>
        </ns0:is>
      </ns0:c>
      <ns0:c r="E8" s="7">
        <ns0:v>1522.25</ns0:v>
      </ns0:c>
      <ns0:c r="F8" s="7">
        <ns0:v>1522.25</ns0:v>
      </ns0:c>
      <ns0:c r="G8" s="7">
        <ns0:f>IF(AND(ISNUMBER(E8),ISNUMBER(F8)),ROUND(E8-F8,2),"")</ns0:f>
        <ns0:v>0.0</ns0:v>
      </ns0:c>
      <ns0:c r="H8" s="7">
        <ns0:v>1587.75</ns0:v>
      </ns0:c>
      <ns0:c r="I8" s="5" t="str">
        <ns0:f>IF(AND(ISNUMBER(E8),ISNUMBER(F8)),IF(G8=0,"EQUAL",IF(G8&gt;0,"BROKER HIGHER","BROKER LOWER")),"REVIEW")</ns0:f>
        <ns0:v>EQUAL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Coastal Fern Travel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2026-11-06 to 2026-11-13</ns0:t>
        </ns0:is>
      </ns0:c>
      <ns0:c r="E9" s="6">
        <ns0:v>1614.2</ns0:v>
      </ns0:c>
      <ns0:c r="F9" s="6">
        <ns0:v>1656.7</ns0:v>
      </ns0:c>
      <ns0:c r="G9" s="6">
        <ns0:f>IF(AND(ISNUMBER(E9),ISNUMBER(F9)),ROUND(E9-F9,2),"")</ns0:f>
        <ns0:v>-42.5</ns0:v>
      </ns0:c>
      <ns0:c r="H9" s="6">
        <ns0:v>1681.7</ns0:v>
      </ns0:c>
      <ns0:c r="I9" s="4" t="str">
        <ns0:f>IF(AND(ISNUMBER(E9),ISNUMBER(F9)),IF(G9=0,"EQUAL",IF(G9&gt;0,"BROKER HIGHER","BROKER LOWER")),"REVIEW")</ns0:f>
        <ns0:v>BROKER LOWER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Coastal Fern Travel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2026-11-06 to 2026-11-13</ns0:t>
        </ns0:is>
      </ns0:c>
      <ns0:c r="E10" s="7">
        <ns0:v>1856.15</ns0:v>
      </ns0:c>
      <ns0:c r="F10" s="7">
        <ns0:v>1791.15</ns0:v>
      </ns0:c>
      <ns0:c r="G10" s="7">
        <ns0:f>IF(AND(ISNUMBER(E10),ISNUMBER(F10)),ROUND(E10-F10,2),"")</ns0:f>
        <ns0:v>65.0</ns0:v>
      </ns0:c>
      <ns0:c r="H10" s="7">
        <ns0:v>1829.65</ns0:v>
      </ns0:c>
      <ns0:c r="I10" s="5" t="str">
        <ns0:f>IF(AND(ISNUMBER(E10),ISNUMBER(F10)),IF(G10=0,"EQUAL",IF(G10&gt;0,"BROKER HIGHER","BROKER LOWER")),"REVIEW")</ns0:f>
        <ns0:v>BROKER HIGHER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Check cover cost</ns0:t>
        </ns0:is>
      </ns0:c>
    </ns0:row>
    <ns0:row r="11" ht="31" customHeight="1">
      <ns0:c r="A11" s="4" t="inlineStr">
        <ns0:is>
          <ns0:t xml:space="preserve">Coastal Fern Travel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2026-11-20 to 2026-11-27</ns0:t>
        </ns0:is>
      </ns0:c>
      <ns0:c r="E11" s="6">
        <ns0:v>1634.75</ns0:v>
      </ns0:c>
      <ns0:c r="F11" s="6">
        <ns0:v>1652.0</ns0:v>
      </ns0:c>
      <ns0:c r="G11" s="6">
        <ns0:f>IF(AND(ISNUMBER(E11),ISNUMBER(F11)),ROUND(E11-F11,2),"")</ns0:f>
        <ns0:v>-17.25</ns0:v>
      </ns0:c>
      <ns0:c r="H11" s="6">
        <ns0:v>1704.0</ns0:v>
      </ns0:c>
      <ns0:c r="I11" s="4" t="str">
        <ns0:f>IF(AND(ISNUMBER(E11),ISNUMBER(F11)),IF(G11=0,"EQUAL",IF(G11&gt;0,"BROKER HIGHER","BROKER LOWER")),"REVIEW")</ns0:f>
        <ns0:v>BROKER LOWER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Coastal Fern Travel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2026-11-20 to 2026-11-27</ns0:t>
        </ns0:is>
      </ns0:c>
      <ns0:c r="E12" s="7">
        <ns0:v>1907.2</ns0:v>
      </ns0:c>
      <ns0:c r="F12" s="7">
        <ns0:v>1786.45</ns0:v>
      </ns0:c>
      <ns0:c r="G12" s="7">
        <ns0:f>IF(AND(ISNUMBER(E12),ISNUMBER(F12)),ROUND(E12-F12,2),"")</ns0:f>
        <ns0:v>120.75</ns0:v>
      </ns0:c>
      <ns0:c r="H12" s="7">
        <ns0:v>1851.95</ns0:v>
      </ns0:c>
      <ns0:c r="I12" s="5" t="str">
        <ns0:f>IF(AND(ISNUMBER(E12),ISNUMBER(F12)),IF(G12=0,"EQUAL",IF(G12&gt;0,"BROKER HIGHER","BROKER LOWER")),"REVIEW")</ns0:f>
        <ns0:v>BROKER HIGHER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Check cover cost</ns0:t>
        </ns0:is>
      </ns0:c>
    </ns0:row>
    <ns0:row r="13" ht="31" customHeight="1">
      <ns0:c r="A13" s="4" t="inlineStr">
        <ns0:is>
          <ns0:t xml:space="preserve">Coastal Fern Travel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2026-11-20 to 2026-11-27</ns0:t>
        </ns0:is>
      </ns0:c>
      <ns0:c r="E13" s="6" t="inlineStr">
        <ns0:is>
          <ns0:t xml:space="preserve">Unavailable</ns0:t>
        </ns0:is>
      </ns0:c>
      <ns0:c r="F13" s="6">
        <ns0:v>1920.9</ns0:v>
      </ns0:c>
      <ns0:c r="G13" s="6" t="str">
        <ns0:f>IF(AND(ISNUMBER(E13),ISNUMBER(F13)),ROUND(E13-F13,2),"")</ns0:f>
        <ns0:v/>
      </ns0:c>
      <ns0:c r="H13" s="6">
        <ns0:v>1945.9</ns0:v>
      </ns0:c>
      <ns0:c r="I13" s="4" t="str">
        <ns0:f>IF(AND(ISNUMBER(E13),ISNUMBER(F13)),IF(G13=0,"EQUAL",IF(G13&gt;0,"BROKER HIGHER","BROKER LOWER")),"REVIEW")</ns0:f>
        <ns0:v>REVIEW</ns0:v>
      </ns0:c>
      <ns0:c r="J13" s="4" t="inlineStr">
        <ns0:is>
          <ns0:t xml:space="preserve">Simulated quote unavailable</ns0:t>
        </ns0:is>
      </ns0:c>
      <ns0:c r="K13" s="4" t="inlineStr">
        <ns0:is>
          <ns0:t xml:space="preserve">Request sample quote</ns0:t>
        </ns0:is>
      </ns0:c>
    </ns0:row>
    <ns0:row r="14" ht="31" customHeight="1">
      <ns0:c r="A14" s="5" t="inlineStr">
        <ns0:is>
          <ns0:t xml:space="preserve">Coastal Fern Travel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2026-11-20 to 2026-11-27</ns0:t>
        </ns0:is>
      </ns0:c>
      <ns0:c r="E14" s="7">
        <ns0:v>1781.75</ns0:v>
      </ns0:c>
      <ns0:c r="F14" s="7">
        <ns0:v>1781.75</ns0:v>
      </ns0:c>
      <ns0:c r="G14" s="7">
        <ns0:f>IF(AND(ISNUMBER(E14),ISNUMBER(F14)),ROUND(E14-F14,2),"")</ns0:f>
        <ns0:v>0.0</ns0:v>
      </ns0:c>
      <ns0:c r="H14" s="7">
        <ns0:v>1820.25</ns0:v>
      </ns0:c>
      <ns0:c r="I14" s="5" t="str">
        <ns0:f>IF(AND(ISNUMBER(E14),ISNUMBER(F14)),IF(G14=0,"EQUAL",IF(G14&gt;0,"BROKER HIGHER","BROKER LOWER")),"REVIEW")</ns0:f>
        <ns0:v>EQUAL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Coastal Fern Travel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2026-11-20 to 2026-11-27</ns0:t>
        </ns0:is>
      </ns0:c>
      <ns0:c r="E15" s="6">
        <ns0:v>1873.7</ns0:v>
      </ns0:c>
      <ns0:c r="F15" s="6">
        <ns0:v>1916.2</ns0:v>
      </ns0:c>
      <ns0:c r="G15" s="6">
        <ns0:f>IF(AND(ISNUMBER(E15),ISNUMBER(F15)),ROUND(E15-F15,2),"")</ns0:f>
        <ns0:v>-42.5</ns0:v>
      </ns0:c>
      <ns0:c r="H15" s="6">
        <ns0:v>1968.2</ns0:v>
      </ns0:c>
      <ns0:c r="I15" s="4" t="str">
        <ns0:f>IF(AND(ISNUMBER(E15),ISNUMBER(F15)),IF(G15=0,"EQUAL",IF(G15&gt;0,"BROKER HIGHER","BROKER LOWER")),"REVIEW")</ns0:f>
        <ns0:v>BROKER LOWER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No action</ns0:t>
        </ns0:is>
      </ns0:c>
    </ns0:row>
    <ns0:row r="16" ht="31" customHeight="1">
      <ns0:c r="A16" s="5" t="inlineStr">
        <ns0:is>
          <ns0:t xml:space="preserve">Coastal Fern Travel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2026-11-20 to 2026-11-27</ns0:t>
        </ns0:is>
      </ns0:c>
      <ns0:c r="E16" s="7">
        <ns0:v>2115.65</ns0:v>
      </ns0:c>
      <ns0:c r="F16" s="7">
        <ns0:v>2050.65</ns0:v>
      </ns0:c>
      <ns0:c r="G16" s="7">
        <ns0:f>IF(AND(ISNUMBER(E16),ISNUMBER(F16)),ROUND(E16-F16,2),"")</ns0:f>
        <ns0:v>65.0</ns0:v>
      </ns0:c>
      <ns0:c r="H16" s="7">
        <ns0:v>2116.15</ns0:v>
      </ns0:c>
      <ns0:c r="I16" s="5" t="str">
        <ns0:f>IF(AND(ISNUMBER(E16),ISNUMBER(F16)),IF(G16=0,"EQUAL",IF(G16&gt;0,"BROKER HIGHER","BROKER LOWER")),"REVIEW")</ns0:f>
        <ns0:v>BROKER HIGHER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Check cover cost</ns0:t>
        </ns0:is>
      </ns0:c>
    </ns0:row>
    <ns0:row r="17" ht="31" customHeight="1">
      <ns0:c r="A17" s="4" t="inlineStr">
        <ns0:is>
          <ns0:t xml:space="preserve">Coastal Fern Travel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2026-12-04 to 2026-12-11</ns0:t>
        </ns0:is>
      </ns0:c>
      <ns0:c r="E17" s="6">
        <ns0:v>1894.25</ns0:v>
      </ns0:c>
      <ns0:c r="F17" s="6">
        <ns0:v>1911.5</ns0:v>
      </ns0:c>
      <ns0:c r="G17" s="6">
        <ns0:f>IF(AND(ISNUMBER(E17),ISNUMBER(F17)),ROUND(E17-F17,2),"")</ns0:f>
        <ns0:v>-17.25</ns0:v>
      </ns0:c>
      <ns0:c r="H17" s="6">
        <ns0:v>1936.5</ns0:v>
      </ns0:c>
      <ns0:c r="I17" s="4" t="str">
        <ns0:f>IF(AND(ISNUMBER(E17),ISNUMBER(F17)),IF(G17=0,"EQUAL",IF(G17&gt;0,"BROKER HIGHER","BROKER LOWER")),"REVIEW")</ns0:f>
        <ns0:v>BROKER LOWER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Coastal Fern Travel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2026-12-04 to 2026-12-11</ns0:t>
        </ns0:is>
      </ns0:c>
      <ns0:c r="E18" s="7">
        <ns0:v>2166.7</ns0:v>
      </ns0:c>
      <ns0:c r="F18" s="7">
        <ns0:v>2045.95</ns0:v>
      </ns0:c>
      <ns0:c r="G18" s="7">
        <ns0:f>IF(AND(ISNUMBER(E18),ISNUMBER(F18)),ROUND(E18-F18,2),"")</ns0:f>
        <ns0:v>120.75</ns0:v>
      </ns0:c>
      <ns0:c r="H18" s="7">
        <ns0:v>2084.45</ns0:v>
      </ns0:c>
      <ns0:c r="I18" s="5" t="str">
        <ns0:f>IF(AND(ISNUMBER(E18),ISNUMBER(F18)),IF(G18=0,"EQUAL",IF(G18&gt;0,"BROKER HIGHER","BROKER LOWER")),"REVIEW")</ns0:f>
        <ns0:v>BROKER HIGHER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Check cover cost</ns0:t>
        </ns0:is>
      </ns0:c>
    </ns0:row>
    <ns0:row r="19" ht="31" customHeight="1">
      <ns0:c r="A19" s="4" t="inlineStr">
        <ns0:is>
          <ns0:t xml:space="preserve">Coastal Fern Travel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2026-12-04 to 2026-12-11</ns0:t>
        </ns0:is>
      </ns0:c>
      <ns0:c r="E19" s="6">
        <ns0:v>2180.4</ns0:v>
      </ns0:c>
      <ns0:c r="F19" s="6">
        <ns0:v>2180.4</ns0:v>
      </ns0:c>
      <ns0:c r="G19" s="6">
        <ns0:f>IF(AND(ISNUMBER(E19),ISNUMBER(F19)),ROUND(E19-F19,2),"")</ns0:f>
        <ns0:v>0.0</ns0:v>
      </ns0:c>
      <ns0:c r="H19" s="6">
        <ns0:v>2232.4</ns0:v>
      </ns0:c>
      <ns0:c r="I19" s="4" t="str">
        <ns0:f>IF(AND(ISNUMBER(E19),ISNUMBER(F19)),IF(G19=0,"EQUAL",IF(G19&gt;0,"BROKER HIGHER","BROKER LOWER")),"REVIEW")</ns0:f>
        <ns0:v>EQUAL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Coastal Fern Travel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2026-12-04 to 2026-12-11</ns0:t>
        </ns0:is>
      </ns0:c>
      <ns0:c r="E20" s="7">
        <ns0:v>2041.25</ns0:v>
      </ns0:c>
      <ns0:c r="F20" s="7">
        <ns0:v>2041.25</ns0:v>
      </ns0:c>
      <ns0:c r="G20" s="7">
        <ns0:f>IF(AND(ISNUMBER(E20),ISNUMBER(F20)),ROUND(E20-F20,2),"")</ns0:f>
        <ns0:v>0.0</ns0:v>
      </ns0:c>
      <ns0:c r="H20" s="7">
        <ns0:v>2106.75</ns0:v>
      </ns0:c>
      <ns0:c r="I20" s="5" t="str">
        <ns0:f>IF(AND(ISNUMBER(E20),ISNUMBER(F20)),IF(G20=0,"EQUAL",IF(G20&gt;0,"BROKER HIGHER","BROKER LOWER")),"REVIEW")</ns0:f>
        <ns0:v>EQUAL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Coastal Fern Travel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2026-12-04 to 2026-12-11</ns0:t>
        </ns0:is>
      </ns0:c>
      <ns0:c r="E21" s="6">
        <ns0:v>2133.2</ns0:v>
      </ns0:c>
      <ns0:c r="F21" s="6">
        <ns0:v>2175.7</ns0:v>
      </ns0:c>
      <ns0:c r="G21" s="6">
        <ns0:f>IF(AND(ISNUMBER(E21),ISNUMBER(F21)),ROUND(E21-F21,2),"")</ns0:f>
        <ns0:v>-42.5</ns0:v>
      </ns0:c>
      <ns0:c r="H21" s="6">
        <ns0:v>2200.7</ns0:v>
      </ns0:c>
      <ns0:c r="I21" s="4" t="str">
        <ns0:f>IF(AND(ISNUMBER(E21),ISNUMBER(F21)),IF(G21=0,"EQUAL",IF(G21&gt;0,"BROKER HIGHER","BROKER LOWER")),"REVIEW")</ns0:f>
        <ns0:v>BROKER LOWER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Coastal Fern Travel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2026-12-04 to 2026-12-11</ns0:t>
        </ns0:is>
      </ns0:c>
      <ns0:c r="E22" s="7">
        <ns0:v>2375.15</ns0:v>
      </ns0:c>
      <ns0:c r="F22" s="7">
        <ns0:v>2310.15</ns0:v>
      </ns0:c>
      <ns0:c r="G22" s="7">
        <ns0:f>IF(AND(ISNUMBER(E22),ISNUMBER(F22)),ROUND(E22-F22,2),"")</ns0:f>
        <ns0:v>65.0</ns0:v>
      </ns0:c>
      <ns0:c r="H22" s="7">
        <ns0:v>2348.65</ns0:v>
      </ns0:c>
      <ns0:c r="I22" s="5" t="str">
        <ns0:f>IF(AND(ISNUMBER(E22),ISNUMBER(F22)),IF(G22=0,"EQUAL",IF(G22&gt;0,"BROKER HIGHER","BROKER LOWER")),"REVIEW")</ns0:f>
        <ns0:v>BROKER HIGHER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Check cover cost</ns0:t>
        </ns0:is>
      </ns0:c>
    </ns0:row>
    <ns0:row r="23" ht="31" customHeight="1">
      <ns0:c r="A23" s="4" t="inlineStr">
        <ns0:is>
          <ns0:t xml:space="preserve">Coastal Fern Travel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2026-12-18 to 2026-12-25</ns0:t>
        </ns0:is>
      </ns0:c>
      <ns0:c r="E23" s="6">
        <ns0:v>2153.75</ns0:v>
      </ns0:c>
      <ns0:c r="F23" s="6">
        <ns0:v>2171.0</ns0:v>
      </ns0:c>
      <ns0:c r="G23" s="6">
        <ns0:f>IF(AND(ISNUMBER(E23),ISNUMBER(F23)),ROUND(E23-F23,2),"")</ns0:f>
        <ns0:v>-17.25</ns0:v>
      </ns0:c>
      <ns0:c r="H23" s="6">
        <ns0:v>2223.0</ns0:v>
      </ns0:c>
      <ns0:c r="I23" s="4" t="str">
        <ns0:f>IF(AND(ISNUMBER(E23),ISNUMBER(F23)),IF(G23=0,"EQUAL",IF(G23&gt;0,"BROKER HIGHER","BROKER LOWER")),"REVIEW")</ns0:f>
        <ns0:v>BROKER LOWER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Coastal Fern Travel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2026-12-18 to 2026-12-25</ns0:t>
        </ns0:is>
      </ns0:c>
      <ns0:c r="E24" s="7">
        <ns0:v>2426.2</ns0:v>
      </ns0:c>
      <ns0:c r="F24" s="7">
        <ns0:v>2305.45</ns0:v>
      </ns0:c>
      <ns0:c r="G24" s="7">
        <ns0:f>IF(AND(ISNUMBER(E24),ISNUMBER(F24)),ROUND(E24-F24,2),"")</ns0:f>
        <ns0:v>120.75</ns0:v>
      </ns0:c>
      <ns0:c r="H24" s="7">
        <ns0:v>2370.95</ns0:v>
      </ns0:c>
      <ns0:c r="I24" s="5" t="str">
        <ns0:f>IF(AND(ISNUMBER(E24),ISNUMBER(F24)),IF(G24=0,"EQUAL",IF(G24&gt;0,"BROKER HIGHER","BROKER LOWER")),"REVIEW")</ns0:f>
        <ns0:v>BROKER HIGHER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Check cover cost</ns0:t>
        </ns0:is>
      </ns0:c>
    </ns0:row>
    <ns0:row r="25" ht="31" customHeight="1">
      <ns0:c r="A25" s="4" t="inlineStr">
        <ns0:is>
          <ns0:t xml:space="preserve">Coastal Fern Travel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2026-12-18 to 2026-12-25</ns0:t>
        </ns0:is>
      </ns0:c>
      <ns0:c r="E25" s="6" t="inlineStr">
        <ns0:is>
          <ns0:t xml:space="preserve">Unavailable</ns0:t>
        </ns0:is>
      </ns0:c>
      <ns0:c r="F25" s="6">
        <ns0:v>2439.9</ns0:v>
      </ns0:c>
      <ns0:c r="G25" s="6" t="str">
        <ns0:f>IF(AND(ISNUMBER(E25),ISNUMBER(F25)),ROUND(E25-F25,2),"")</ns0:f>
        <ns0:v/>
      </ns0:c>
      <ns0:c r="H25" s="6">
        <ns0:v>2464.9</ns0:v>
      </ns0:c>
      <ns0:c r="I25" s="4" t="str">
        <ns0:f>IF(AND(ISNUMBER(E25),ISNUMBER(F25)),IF(G25=0,"EQUAL",IF(G25&gt;0,"BROKER HIGHER","BROKER LOWER")),"REVIEW")</ns0:f>
        <ns0:v>REVIEW</ns0:v>
      </ns0:c>
      <ns0:c r="J25" s="4" t="inlineStr">
        <ns0:is>
          <ns0:t xml:space="preserve">Simulated quote unavailable</ns0:t>
        </ns0:is>
      </ns0:c>
      <ns0:c r="K25" s="4" t="inlineStr">
        <ns0:is>
          <ns0:t xml:space="preserve">Request sample quote</ns0:t>
        </ns0:is>
      </ns0:c>
    </ns0:row>
    <ns0:row r="26" ht="31" customHeight="1">
      <ns0:c r="A26" s="5" t="inlineStr">
        <ns0:is>
          <ns0:t xml:space="preserve">Coastal Fern Travel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2026-12-18 to 2026-12-25</ns0:t>
        </ns0:is>
      </ns0:c>
      <ns0:c r="E26" s="7">
        <ns0:v>2300.75</ns0:v>
      </ns0:c>
      <ns0:c r="F26" s="7">
        <ns0:v>2300.75</ns0:v>
      </ns0:c>
      <ns0:c r="G26" s="7">
        <ns0:f>IF(AND(ISNUMBER(E26),ISNUMBER(F26)),ROUND(E26-F26,2),"")</ns0:f>
        <ns0:v>0.0</ns0:v>
      </ns0:c>
      <ns0:c r="H26" s="7">
        <ns0:v>2339.25</ns0:v>
      </ns0:c>
      <ns0:c r="I26" s="5" t="str">
        <ns0:f>IF(AND(ISNUMBER(E26),ISNUMBER(F26)),IF(G26=0,"EQUAL",IF(G26&gt;0,"BROKER HIGHER","BROKER LOWER")),"REVIEW")</ns0:f>
        <ns0:v>EQUAL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Coastal Fern Travel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2026-12-18 to 2026-12-25</ns0:t>
        </ns0:is>
      </ns0:c>
      <ns0:c r="E27" s="6">
        <ns0:v>2392.7</ns0:v>
      </ns0:c>
      <ns0:c r="F27" s="6">
        <ns0:v>2435.2</ns0:v>
      </ns0:c>
      <ns0:c r="G27" s="6">
        <ns0:f>IF(AND(ISNUMBER(E27),ISNUMBER(F27)),ROUND(E27-F27,2),"")</ns0:f>
        <ns0:v>-42.5</ns0:v>
      </ns0:c>
      <ns0:c r="H27" s="6">
        <ns0:v>2487.2</ns0:v>
      </ns0:c>
      <ns0:c r="I27" s="4" t="str">
        <ns0:f>IF(AND(ISNUMBER(E27),ISNUMBER(F27)),IF(G27=0,"EQUAL",IF(G27&gt;0,"BROKER HIGHER","BROKER LOWER")),"REVIEW")</ns0:f>
        <ns0:v>BROKER LOWER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No action</ns0:t>
        </ns0:is>
      </ns0:c>
    </ns0:row>
    <ns0:row r="28" ht="31" customHeight="1">
      <ns0:c r="A28" s="5" t="inlineStr">
        <ns0:is>
          <ns0:t xml:space="preserve">Coastal Fern Travel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2026-12-18 to 2026-12-25</ns0:t>
        </ns0:is>
      </ns0:c>
      <ns0:c r="E28" s="7">
        <ns0:v>2634.65</ns0:v>
      </ns0:c>
      <ns0:c r="F28" s="7">
        <ns0:v>2569.65</ns0:v>
      </ns0:c>
      <ns0:c r="G28" s="7">
        <ns0:f>IF(AND(ISNUMBER(E28),ISNUMBER(F28)),ROUND(E28-F28,2),"")</ns0:f>
        <ns0:v>65.0</ns0:v>
      </ns0:c>
      <ns0:c r="H28" s="7">
        <ns0:v>2635.15</ns0:v>
      </ns0:c>
      <ns0:c r="I28" s="5" t="str">
        <ns0:f>IF(AND(ISNUMBER(E28),ISNUMBER(F28)),IF(G28=0,"EQUAL",IF(G28&gt;0,"BROKER HIGHER","BROKER LOWER")),"REVIEW")</ns0:f>
        <ns0:v>BROKER HIGHER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Check cover cost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